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lehorwath/Documents/Orchard_Common_Garden/commongarden/RAWDATAFILES/"/>
    </mc:Choice>
  </mc:AlternateContent>
  <xr:revisionPtr revIDLastSave="0" documentId="13_ncr:1_{C8A759B9-5F2E-0F4D-BFB6-922198022898}" xr6:coauthVersionLast="47" xr6:coauthVersionMax="47" xr10:uidLastSave="{00000000-0000-0000-0000-000000000000}"/>
  <bookViews>
    <workbookView xWindow="720" yWindow="660" windowWidth="17960" windowHeight="15000" activeTab="6" xr2:uid="{00000000-000D-0000-FFFF-FFFF00000000}"/>
  </bookViews>
  <sheets>
    <sheet name="Data Summary" sheetId="1" r:id="rId1"/>
    <sheet name="Data Spreadsheet" sheetId="2" r:id="rId2"/>
    <sheet name="Total Phenolics" sheetId="5" r:id="rId3"/>
    <sheet name="AUCmgDW" sheetId="3" r:id="rId4"/>
    <sheet name="#Peaks&lt;28min" sheetId="4" r:id="rId5"/>
    <sheet name="Unk 3.2" sheetId="6" r:id="rId6"/>
    <sheet name="1,8 cineole" sheetId="7" r:id="rId7"/>
    <sheet name="% N" sheetId="9" r:id="rId8"/>
    <sheet name="Volum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7" l="1"/>
  <c r="G12" i="7"/>
  <c r="G18" i="7"/>
  <c r="G19" i="7"/>
  <c r="G20" i="7"/>
  <c r="G26" i="7"/>
  <c r="G27" i="7"/>
  <c r="G28" i="7"/>
  <c r="G34" i="7"/>
  <c r="G35" i="7"/>
  <c r="G36" i="7"/>
  <c r="G42" i="7"/>
  <c r="G43" i="7"/>
  <c r="G44" i="7"/>
  <c r="G50" i="7"/>
  <c r="G51" i="7"/>
  <c r="G52" i="7"/>
  <c r="G58" i="7"/>
  <c r="G59" i="7"/>
  <c r="G60" i="7"/>
  <c r="G66" i="7"/>
  <c r="G67" i="7"/>
  <c r="G68" i="7"/>
  <c r="G74" i="7"/>
  <c r="G75" i="7"/>
  <c r="G76" i="7"/>
  <c r="G82" i="7"/>
  <c r="G83" i="7"/>
  <c r="G84" i="7"/>
  <c r="G90" i="7"/>
  <c r="G91" i="7"/>
  <c r="G92" i="7"/>
  <c r="G98" i="7"/>
  <c r="G99" i="7"/>
  <c r="G100" i="7"/>
  <c r="G106" i="7"/>
  <c r="G107" i="7"/>
  <c r="G108" i="7"/>
  <c r="G114" i="7"/>
  <c r="G115" i="7"/>
  <c r="G116" i="7"/>
  <c r="G122" i="7"/>
  <c r="G123" i="7"/>
  <c r="G124" i="7"/>
  <c r="G130" i="7"/>
  <c r="G131" i="7"/>
  <c r="G132" i="7"/>
  <c r="G138" i="7"/>
  <c r="G139" i="7"/>
  <c r="G140" i="7"/>
  <c r="G146" i="7"/>
  <c r="G147" i="7"/>
  <c r="G148" i="7"/>
  <c r="G154" i="7"/>
  <c r="G155" i="7"/>
  <c r="G156" i="7"/>
  <c r="G162" i="7"/>
  <c r="G163" i="7"/>
  <c r="G164" i="7"/>
  <c r="G170" i="7"/>
  <c r="G171" i="7"/>
  <c r="G172" i="7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F12" i="7"/>
  <c r="F13" i="7"/>
  <c r="G13" i="7" s="1"/>
  <c r="F14" i="7"/>
  <c r="G14" i="7" s="1"/>
  <c r="F15" i="7"/>
  <c r="G15" i="7" s="1"/>
  <c r="F16" i="7"/>
  <c r="G16" i="7" s="1"/>
  <c r="F17" i="7"/>
  <c r="G17" i="7" s="1"/>
  <c r="F18" i="7"/>
  <c r="F19" i="7"/>
  <c r="F20" i="7"/>
  <c r="F21" i="7"/>
  <c r="G21" i="7" s="1"/>
  <c r="F22" i="7"/>
  <c r="G22" i="7" s="1"/>
  <c r="F23" i="7"/>
  <c r="G23" i="7" s="1"/>
  <c r="F24" i="7"/>
  <c r="G24" i="7" s="1"/>
  <c r="F25" i="7"/>
  <c r="G25" i="7" s="1"/>
  <c r="F26" i="7"/>
  <c r="F27" i="7"/>
  <c r="F28" i="7"/>
  <c r="F29" i="7"/>
  <c r="G29" i="7" s="1"/>
  <c r="F30" i="7"/>
  <c r="G30" i="7" s="1"/>
  <c r="F31" i="7"/>
  <c r="G31" i="7" s="1"/>
  <c r="F32" i="7"/>
  <c r="G32" i="7" s="1"/>
  <c r="F33" i="7"/>
  <c r="G33" i="7" s="1"/>
  <c r="F34" i="7"/>
  <c r="F35" i="7"/>
  <c r="F36" i="7"/>
  <c r="F37" i="7"/>
  <c r="G37" i="7" s="1"/>
  <c r="F38" i="7"/>
  <c r="G38" i="7" s="1"/>
  <c r="F39" i="7"/>
  <c r="G39" i="7" s="1"/>
  <c r="F40" i="7"/>
  <c r="G40" i="7" s="1"/>
  <c r="F41" i="7"/>
  <c r="G41" i="7" s="1"/>
  <c r="F42" i="7"/>
  <c r="F43" i="7"/>
  <c r="F44" i="7"/>
  <c r="F45" i="7"/>
  <c r="G45" i="7" s="1"/>
  <c r="F46" i="7"/>
  <c r="G46" i="7" s="1"/>
  <c r="F47" i="7"/>
  <c r="G47" i="7" s="1"/>
  <c r="F48" i="7"/>
  <c r="G48" i="7" s="1"/>
  <c r="F49" i="7"/>
  <c r="G49" i="7" s="1"/>
  <c r="F50" i="7"/>
  <c r="F51" i="7"/>
  <c r="F52" i="7"/>
  <c r="F53" i="7"/>
  <c r="G53" i="7" s="1"/>
  <c r="F54" i="7"/>
  <c r="G54" i="7" s="1"/>
  <c r="F55" i="7"/>
  <c r="G55" i="7" s="1"/>
  <c r="F56" i="7"/>
  <c r="G56" i="7" s="1"/>
  <c r="F57" i="7"/>
  <c r="G57" i="7" s="1"/>
  <c r="F58" i="7"/>
  <c r="F59" i="7"/>
  <c r="F60" i="7"/>
  <c r="F61" i="7"/>
  <c r="G61" i="7" s="1"/>
  <c r="F62" i="7"/>
  <c r="G62" i="7" s="1"/>
  <c r="F63" i="7"/>
  <c r="G63" i="7" s="1"/>
  <c r="F64" i="7"/>
  <c r="G64" i="7" s="1"/>
  <c r="F65" i="7"/>
  <c r="G65" i="7" s="1"/>
  <c r="F66" i="7"/>
  <c r="F67" i="7"/>
  <c r="F68" i="7"/>
  <c r="F69" i="7"/>
  <c r="G69" i="7" s="1"/>
  <c r="F70" i="7"/>
  <c r="G70" i="7" s="1"/>
  <c r="F71" i="7"/>
  <c r="G71" i="7" s="1"/>
  <c r="F72" i="7"/>
  <c r="G72" i="7" s="1"/>
  <c r="F73" i="7"/>
  <c r="G73" i="7" s="1"/>
  <c r="F74" i="7"/>
  <c r="F75" i="7"/>
  <c r="F76" i="7"/>
  <c r="F77" i="7"/>
  <c r="G77" i="7" s="1"/>
  <c r="F78" i="7"/>
  <c r="G78" i="7" s="1"/>
  <c r="F79" i="7"/>
  <c r="G79" i="7" s="1"/>
  <c r="F80" i="7"/>
  <c r="G80" i="7" s="1"/>
  <c r="F81" i="7"/>
  <c r="G81" i="7" s="1"/>
  <c r="F82" i="7"/>
  <c r="F83" i="7"/>
  <c r="F84" i="7"/>
  <c r="F85" i="7"/>
  <c r="G85" i="7" s="1"/>
  <c r="F86" i="7"/>
  <c r="G86" i="7" s="1"/>
  <c r="F87" i="7"/>
  <c r="G87" i="7" s="1"/>
  <c r="F88" i="7"/>
  <c r="G88" i="7" s="1"/>
  <c r="F89" i="7"/>
  <c r="G89" i="7" s="1"/>
  <c r="F90" i="7"/>
  <c r="F91" i="7"/>
  <c r="F92" i="7"/>
  <c r="F93" i="7"/>
  <c r="G93" i="7" s="1"/>
  <c r="F94" i="7"/>
  <c r="G94" i="7" s="1"/>
  <c r="F95" i="7"/>
  <c r="G95" i="7" s="1"/>
  <c r="F96" i="7"/>
  <c r="G96" i="7" s="1"/>
  <c r="F97" i="7"/>
  <c r="G97" i="7" s="1"/>
  <c r="F98" i="7"/>
  <c r="F99" i="7"/>
  <c r="F100" i="7"/>
  <c r="F101" i="7"/>
  <c r="G101" i="7" s="1"/>
  <c r="F102" i="7"/>
  <c r="G102" i="7" s="1"/>
  <c r="F103" i="7"/>
  <c r="G103" i="7" s="1"/>
  <c r="F104" i="7"/>
  <c r="G104" i="7" s="1"/>
  <c r="F105" i="7"/>
  <c r="G105" i="7" s="1"/>
  <c r="F106" i="7"/>
  <c r="F107" i="7"/>
  <c r="F108" i="7"/>
  <c r="F109" i="7"/>
  <c r="G109" i="7" s="1"/>
  <c r="F110" i="7"/>
  <c r="G110" i="7" s="1"/>
  <c r="F111" i="7"/>
  <c r="G111" i="7" s="1"/>
  <c r="F112" i="7"/>
  <c r="G112" i="7" s="1"/>
  <c r="F113" i="7"/>
  <c r="G113" i="7" s="1"/>
  <c r="F114" i="7"/>
  <c r="F115" i="7"/>
  <c r="F116" i="7"/>
  <c r="F117" i="7"/>
  <c r="G117" i="7" s="1"/>
  <c r="F118" i="7"/>
  <c r="G118" i="7" s="1"/>
  <c r="F119" i="7"/>
  <c r="G119" i="7" s="1"/>
  <c r="F120" i="7"/>
  <c r="G120" i="7" s="1"/>
  <c r="F121" i="7"/>
  <c r="G121" i="7" s="1"/>
  <c r="F122" i="7"/>
  <c r="F123" i="7"/>
  <c r="F124" i="7"/>
  <c r="F125" i="7"/>
  <c r="G125" i="7" s="1"/>
  <c r="F126" i="7"/>
  <c r="G126" i="7" s="1"/>
  <c r="F127" i="7"/>
  <c r="G127" i="7" s="1"/>
  <c r="F128" i="7"/>
  <c r="G128" i="7" s="1"/>
  <c r="F129" i="7"/>
  <c r="G129" i="7" s="1"/>
  <c r="F130" i="7"/>
  <c r="F131" i="7"/>
  <c r="F132" i="7"/>
  <c r="F133" i="7"/>
  <c r="G133" i="7" s="1"/>
  <c r="F134" i="7"/>
  <c r="G134" i="7" s="1"/>
  <c r="F135" i="7"/>
  <c r="G135" i="7" s="1"/>
  <c r="F136" i="7"/>
  <c r="G136" i="7" s="1"/>
  <c r="F137" i="7"/>
  <c r="G137" i="7" s="1"/>
  <c r="F138" i="7"/>
  <c r="F139" i="7"/>
  <c r="F140" i="7"/>
  <c r="F141" i="7"/>
  <c r="G141" i="7" s="1"/>
  <c r="F142" i="7"/>
  <c r="G142" i="7" s="1"/>
  <c r="F143" i="7"/>
  <c r="G143" i="7" s="1"/>
  <c r="F144" i="7"/>
  <c r="G144" i="7" s="1"/>
  <c r="F145" i="7"/>
  <c r="G145" i="7" s="1"/>
  <c r="F146" i="7"/>
  <c r="F147" i="7"/>
  <c r="F148" i="7"/>
  <c r="F149" i="7"/>
  <c r="G149" i="7" s="1"/>
  <c r="F150" i="7"/>
  <c r="G150" i="7" s="1"/>
  <c r="F151" i="7"/>
  <c r="G151" i="7" s="1"/>
  <c r="F152" i="7"/>
  <c r="G152" i="7" s="1"/>
  <c r="F153" i="7"/>
  <c r="G153" i="7" s="1"/>
  <c r="F154" i="7"/>
  <c r="F155" i="7"/>
  <c r="F156" i="7"/>
  <c r="F157" i="7"/>
  <c r="G157" i="7" s="1"/>
  <c r="F158" i="7"/>
  <c r="G158" i="7" s="1"/>
  <c r="F159" i="7"/>
  <c r="G159" i="7" s="1"/>
  <c r="F160" i="7"/>
  <c r="G160" i="7" s="1"/>
  <c r="F161" i="7"/>
  <c r="G161" i="7" s="1"/>
  <c r="F162" i="7"/>
  <c r="F163" i="7"/>
  <c r="F164" i="7"/>
  <c r="F165" i="7"/>
  <c r="G165" i="7" s="1"/>
  <c r="F166" i="7"/>
  <c r="G166" i="7" s="1"/>
  <c r="F167" i="7"/>
  <c r="G167" i="7" s="1"/>
  <c r="F168" i="7"/>
  <c r="G168" i="7" s="1"/>
  <c r="F169" i="7"/>
  <c r="G169" i="7" s="1"/>
  <c r="F170" i="7"/>
  <c r="F171" i="7"/>
  <c r="F172" i="7"/>
  <c r="F173" i="7"/>
  <c r="G173" i="7" s="1"/>
  <c r="F174" i="7"/>
  <c r="G174" i="7" s="1"/>
  <c r="F4" i="7"/>
  <c r="G4" i="7" s="1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80" i="6"/>
  <c r="G80" i="6" s="1"/>
  <c r="F81" i="6"/>
  <c r="G81" i="6" s="1"/>
  <c r="F82" i="6"/>
  <c r="G82" i="6" s="1"/>
  <c r="F83" i="6"/>
  <c r="G83" i="6" s="1"/>
  <c r="F84" i="6"/>
  <c r="G84" i="6" s="1"/>
  <c r="F85" i="6"/>
  <c r="G85" i="6" s="1"/>
  <c r="F86" i="6"/>
  <c r="G86" i="6" s="1"/>
  <c r="F87" i="6"/>
  <c r="G87" i="6" s="1"/>
  <c r="F88" i="6"/>
  <c r="G88" i="6" s="1"/>
  <c r="F89" i="6"/>
  <c r="G89" i="6" s="1"/>
  <c r="F90" i="6"/>
  <c r="G90" i="6" s="1"/>
  <c r="F91" i="6"/>
  <c r="G91" i="6" s="1"/>
  <c r="F92" i="6"/>
  <c r="G92" i="6" s="1"/>
  <c r="F93" i="6"/>
  <c r="G93" i="6" s="1"/>
  <c r="F94" i="6"/>
  <c r="G94" i="6" s="1"/>
  <c r="F95" i="6"/>
  <c r="G95" i="6" s="1"/>
  <c r="F96" i="6"/>
  <c r="G96" i="6" s="1"/>
  <c r="F97" i="6"/>
  <c r="G97" i="6" s="1"/>
  <c r="F98" i="6"/>
  <c r="G98" i="6" s="1"/>
  <c r="F99" i="6"/>
  <c r="G99" i="6" s="1"/>
  <c r="F100" i="6"/>
  <c r="G100" i="6" s="1"/>
  <c r="F101" i="6"/>
  <c r="G101" i="6" s="1"/>
  <c r="F102" i="6"/>
  <c r="G102" i="6" s="1"/>
  <c r="F103" i="6"/>
  <c r="G103" i="6" s="1"/>
  <c r="F104" i="6"/>
  <c r="G104" i="6" s="1"/>
  <c r="F105" i="6"/>
  <c r="G105" i="6" s="1"/>
  <c r="F106" i="6"/>
  <c r="G106" i="6" s="1"/>
  <c r="F107" i="6"/>
  <c r="G107" i="6" s="1"/>
  <c r="F108" i="6"/>
  <c r="G108" i="6" s="1"/>
  <c r="F109" i="6"/>
  <c r="G109" i="6" s="1"/>
  <c r="F110" i="6"/>
  <c r="G110" i="6" s="1"/>
  <c r="F111" i="6"/>
  <c r="G111" i="6" s="1"/>
  <c r="F112" i="6"/>
  <c r="G112" i="6" s="1"/>
  <c r="F113" i="6"/>
  <c r="G113" i="6" s="1"/>
  <c r="F114" i="6"/>
  <c r="G114" i="6" s="1"/>
  <c r="F115" i="6"/>
  <c r="G115" i="6" s="1"/>
  <c r="F116" i="6"/>
  <c r="G116" i="6" s="1"/>
  <c r="F117" i="6"/>
  <c r="G117" i="6" s="1"/>
  <c r="F118" i="6"/>
  <c r="G118" i="6" s="1"/>
  <c r="F119" i="6"/>
  <c r="G119" i="6" s="1"/>
  <c r="F120" i="6"/>
  <c r="G120" i="6" s="1"/>
  <c r="F121" i="6"/>
  <c r="G121" i="6" s="1"/>
  <c r="F122" i="6"/>
  <c r="G122" i="6" s="1"/>
  <c r="F123" i="6"/>
  <c r="G123" i="6" s="1"/>
  <c r="F124" i="6"/>
  <c r="G124" i="6" s="1"/>
  <c r="F125" i="6"/>
  <c r="G125" i="6" s="1"/>
  <c r="F126" i="6"/>
  <c r="G126" i="6" s="1"/>
  <c r="F127" i="6"/>
  <c r="G127" i="6" s="1"/>
  <c r="F128" i="6"/>
  <c r="G128" i="6" s="1"/>
  <c r="F129" i="6"/>
  <c r="G129" i="6" s="1"/>
  <c r="F130" i="6"/>
  <c r="G130" i="6" s="1"/>
  <c r="F131" i="6"/>
  <c r="G131" i="6" s="1"/>
  <c r="F132" i="6"/>
  <c r="G132" i="6" s="1"/>
  <c r="F133" i="6"/>
  <c r="G133" i="6" s="1"/>
  <c r="F134" i="6"/>
  <c r="G134" i="6" s="1"/>
  <c r="F135" i="6"/>
  <c r="G135" i="6" s="1"/>
  <c r="F136" i="6"/>
  <c r="G136" i="6" s="1"/>
  <c r="F137" i="6"/>
  <c r="G137" i="6" s="1"/>
  <c r="F138" i="6"/>
  <c r="G138" i="6" s="1"/>
  <c r="F139" i="6"/>
  <c r="G139" i="6" s="1"/>
  <c r="F140" i="6"/>
  <c r="G140" i="6" s="1"/>
  <c r="F141" i="6"/>
  <c r="G141" i="6" s="1"/>
  <c r="F142" i="6"/>
  <c r="G142" i="6" s="1"/>
  <c r="F143" i="6"/>
  <c r="G143" i="6" s="1"/>
  <c r="F144" i="6"/>
  <c r="G144" i="6" s="1"/>
  <c r="F145" i="6"/>
  <c r="G145" i="6" s="1"/>
  <c r="F146" i="6"/>
  <c r="G146" i="6" s="1"/>
  <c r="F147" i="6"/>
  <c r="G147" i="6" s="1"/>
  <c r="F148" i="6"/>
  <c r="G148" i="6" s="1"/>
  <c r="F149" i="6"/>
  <c r="G149" i="6" s="1"/>
  <c r="F150" i="6"/>
  <c r="G150" i="6" s="1"/>
  <c r="F151" i="6"/>
  <c r="G151" i="6" s="1"/>
  <c r="F152" i="6"/>
  <c r="G152" i="6" s="1"/>
  <c r="F153" i="6"/>
  <c r="G153" i="6" s="1"/>
  <c r="F154" i="6"/>
  <c r="G154" i="6" s="1"/>
  <c r="F155" i="6"/>
  <c r="G155" i="6" s="1"/>
  <c r="F156" i="6"/>
  <c r="G156" i="6" s="1"/>
  <c r="F157" i="6"/>
  <c r="G157" i="6" s="1"/>
  <c r="F158" i="6"/>
  <c r="G158" i="6" s="1"/>
  <c r="F159" i="6"/>
  <c r="G159" i="6" s="1"/>
  <c r="F160" i="6"/>
  <c r="G160" i="6" s="1"/>
  <c r="F161" i="6"/>
  <c r="G161" i="6" s="1"/>
  <c r="F162" i="6"/>
  <c r="G162" i="6" s="1"/>
  <c r="F163" i="6"/>
  <c r="G163" i="6" s="1"/>
  <c r="F164" i="6"/>
  <c r="G164" i="6" s="1"/>
  <c r="F165" i="6"/>
  <c r="G165" i="6" s="1"/>
  <c r="F166" i="6"/>
  <c r="G166" i="6" s="1"/>
  <c r="F167" i="6"/>
  <c r="G167" i="6" s="1"/>
  <c r="F168" i="6"/>
  <c r="G168" i="6" s="1"/>
  <c r="F169" i="6"/>
  <c r="G169" i="6" s="1"/>
  <c r="F170" i="6"/>
  <c r="G170" i="6" s="1"/>
  <c r="F171" i="6"/>
  <c r="G171" i="6" s="1"/>
  <c r="F172" i="6"/>
  <c r="G172" i="6" s="1"/>
  <c r="F173" i="6"/>
  <c r="G173" i="6" s="1"/>
  <c r="F174" i="6"/>
  <c r="G174" i="6" s="1"/>
  <c r="F4" i="6"/>
  <c r="G4" i="6" s="1"/>
  <c r="Q8" i="4" l="1"/>
  <c r="P8" i="4"/>
  <c r="O8" i="4"/>
  <c r="Q7" i="4"/>
  <c r="P7" i="4"/>
  <c r="O7" i="4"/>
  <c r="Q5" i="4"/>
  <c r="P5" i="4"/>
  <c r="O5" i="4"/>
  <c r="Q4" i="4"/>
  <c r="P4" i="4"/>
  <c r="O4" i="4"/>
  <c r="E5" i="3"/>
  <c r="G5" i="3" s="1"/>
  <c r="E6" i="3"/>
  <c r="G6" i="3" s="1"/>
  <c r="E7" i="3"/>
  <c r="G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G33" i="3" s="1"/>
  <c r="E34" i="3"/>
  <c r="G34" i="3" s="1"/>
  <c r="E35" i="3"/>
  <c r="G35" i="3" s="1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G45" i="3" s="1"/>
  <c r="E46" i="3"/>
  <c r="G46" i="3" s="1"/>
  <c r="E47" i="3"/>
  <c r="G47" i="3" s="1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G68" i="3" s="1"/>
  <c r="E69" i="3"/>
  <c r="G69" i="3" s="1"/>
  <c r="E70" i="3"/>
  <c r="G70" i="3" s="1"/>
  <c r="E71" i="3"/>
  <c r="G71" i="3" s="1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G81" i="3" s="1"/>
  <c r="E82" i="3"/>
  <c r="G82" i="3" s="1"/>
  <c r="E83" i="3"/>
  <c r="G83" i="3" s="1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G94" i="3" s="1"/>
  <c r="E95" i="3"/>
  <c r="G95" i="3" s="1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G106" i="3" s="1"/>
  <c r="E107" i="3"/>
  <c r="G107" i="3" s="1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4" i="3"/>
  <c r="G4" i="3" s="1"/>
  <c r="L2" i="2"/>
  <c r="L20" i="2"/>
  <c r="M20" i="2" s="1"/>
  <c r="N20" i="2" s="1"/>
  <c r="P20" i="2" s="1"/>
  <c r="M2" i="2"/>
  <c r="N2" i="2" s="1"/>
  <c r="P2" i="2" s="1"/>
  <c r="L21" i="2"/>
  <c r="M21" i="2"/>
  <c r="L30" i="2"/>
  <c r="M30" i="2" s="1"/>
  <c r="N30" i="2" s="1"/>
  <c r="P30" i="2" s="1"/>
  <c r="L41" i="2"/>
  <c r="M41" i="2"/>
  <c r="L42" i="2"/>
  <c r="M42" i="2"/>
  <c r="N42" i="2" s="1"/>
  <c r="P42" i="2" s="1"/>
  <c r="L43" i="2"/>
  <c r="M43" i="2"/>
  <c r="L46" i="2"/>
  <c r="M46" i="2" s="1"/>
  <c r="N46" i="2" s="1"/>
  <c r="P46" i="2" s="1"/>
  <c r="L47" i="2"/>
  <c r="M47" i="2"/>
  <c r="N47" i="2" s="1"/>
  <c r="P47" i="2" s="1"/>
  <c r="L50" i="2"/>
  <c r="M50" i="2"/>
  <c r="L52" i="2"/>
  <c r="M52" i="2" s="1"/>
  <c r="L61" i="2"/>
  <c r="M61" i="2" s="1"/>
  <c r="L62" i="2"/>
  <c r="M62" i="2" s="1"/>
  <c r="L66" i="2"/>
  <c r="M66" i="2"/>
  <c r="L67" i="2"/>
  <c r="M67" i="2" s="1"/>
  <c r="N67" i="2" s="1"/>
  <c r="P67" i="2" s="1"/>
  <c r="L69" i="2"/>
  <c r="M69" i="2" s="1"/>
  <c r="L73" i="2"/>
  <c r="M73" i="2"/>
  <c r="L74" i="2"/>
  <c r="M74" i="2" s="1"/>
  <c r="N74" i="2" s="1"/>
  <c r="P74" i="2" s="1"/>
  <c r="L75" i="2"/>
  <c r="M75" i="2"/>
  <c r="L76" i="2"/>
  <c r="M76" i="2"/>
  <c r="L80" i="2"/>
  <c r="M80" i="2" s="1"/>
  <c r="L82" i="2"/>
  <c r="M82" i="2" s="1"/>
  <c r="N82" i="2" s="1"/>
  <c r="P82" i="2" s="1"/>
  <c r="L83" i="2"/>
  <c r="M83" i="2"/>
  <c r="L87" i="2"/>
  <c r="M87" i="2" s="1"/>
  <c r="N87" i="2" s="1"/>
  <c r="P87" i="2" s="1"/>
  <c r="L89" i="2"/>
  <c r="M89" i="2"/>
  <c r="L90" i="2"/>
  <c r="M90" i="2"/>
  <c r="L91" i="2"/>
  <c r="M91" i="2" s="1"/>
  <c r="N91" i="2" s="1"/>
  <c r="P91" i="2" s="1"/>
  <c r="L92" i="2"/>
  <c r="M92" i="2"/>
  <c r="N92" i="2" s="1"/>
  <c r="P92" i="2" s="1"/>
  <c r="L93" i="2"/>
  <c r="M93" i="2"/>
  <c r="L94" i="2"/>
  <c r="M94" i="2"/>
  <c r="N94" i="2" s="1"/>
  <c r="P94" i="2" s="1"/>
  <c r="L106" i="2"/>
  <c r="M106" i="2" s="1"/>
  <c r="L111" i="2"/>
  <c r="M111" i="2" s="1"/>
  <c r="L112" i="2"/>
  <c r="M112" i="2" s="1"/>
  <c r="L117" i="2"/>
  <c r="M117" i="2" s="1"/>
  <c r="L118" i="2"/>
  <c r="M118" i="2" s="1"/>
  <c r="L119" i="2"/>
  <c r="M119" i="2" s="1"/>
  <c r="L120" i="2"/>
  <c r="M120" i="2" s="1"/>
  <c r="L121" i="2"/>
  <c r="M121" i="2" s="1"/>
  <c r="N121" i="2" s="1"/>
  <c r="P121" i="2" s="1"/>
  <c r="L123" i="2"/>
  <c r="M123" i="2" s="1"/>
  <c r="N123" i="2" s="1"/>
  <c r="P123" i="2" s="1"/>
  <c r="L127" i="2"/>
  <c r="M127" i="2" s="1"/>
  <c r="L128" i="2"/>
  <c r="M128" i="2" s="1"/>
  <c r="N128" i="2" s="1"/>
  <c r="P128" i="2" s="1"/>
  <c r="L132" i="2"/>
  <c r="M132" i="2"/>
  <c r="L135" i="2"/>
  <c r="M135" i="2"/>
  <c r="L136" i="2"/>
  <c r="M136" i="2" s="1"/>
  <c r="N136" i="2" s="1"/>
  <c r="P136" i="2" s="1"/>
  <c r="L138" i="2"/>
  <c r="M138" i="2" s="1"/>
  <c r="L146" i="2"/>
  <c r="M146" i="2" s="1"/>
  <c r="N146" i="2" s="1"/>
  <c r="P146" i="2" s="1"/>
  <c r="L147" i="2"/>
  <c r="M147" i="2"/>
  <c r="L150" i="2"/>
  <c r="M150" i="2" s="1"/>
  <c r="N150" i="2" s="1"/>
  <c r="P150" i="2" s="1"/>
  <c r="L153" i="2"/>
  <c r="M153" i="2"/>
  <c r="L157" i="2"/>
  <c r="M157" i="2" s="1"/>
  <c r="N157" i="2" s="1"/>
  <c r="P157" i="2" s="1"/>
  <c r="L164" i="2"/>
  <c r="M164" i="2" s="1"/>
  <c r="L3" i="2"/>
  <c r="M3" i="2" s="1"/>
  <c r="N3" i="2" s="1"/>
  <c r="P3" i="2" s="1"/>
  <c r="L4" i="2"/>
  <c r="M4" i="2" s="1"/>
  <c r="N4" i="2" s="1"/>
  <c r="P4" i="2" s="1"/>
  <c r="L5" i="2"/>
  <c r="M5" i="2" s="1"/>
  <c r="N5" i="2" s="1"/>
  <c r="P5" i="2" s="1"/>
  <c r="L6" i="2"/>
  <c r="M6" i="2" s="1"/>
  <c r="N6" i="2" s="1"/>
  <c r="P6" i="2" s="1"/>
  <c r="L7" i="2"/>
  <c r="M7" i="2" s="1"/>
  <c r="N7" i="2"/>
  <c r="P7" i="2" s="1"/>
  <c r="L8" i="2"/>
  <c r="M8" i="2" s="1"/>
  <c r="N8" i="2" s="1"/>
  <c r="P8" i="2" s="1"/>
  <c r="L9" i="2"/>
  <c r="M9" i="2" s="1"/>
  <c r="N9" i="2"/>
  <c r="P9" i="2" s="1"/>
  <c r="L10" i="2"/>
  <c r="M10" i="2" s="1"/>
  <c r="N10" i="2" s="1"/>
  <c r="P10" i="2" s="1"/>
  <c r="L11" i="2"/>
  <c r="M11" i="2" s="1"/>
  <c r="N11" i="2" s="1"/>
  <c r="P11" i="2" s="1"/>
  <c r="L12" i="2"/>
  <c r="M12" i="2" s="1"/>
  <c r="N12" i="2" s="1"/>
  <c r="P12" i="2" s="1"/>
  <c r="L13" i="2"/>
  <c r="M13" i="2" s="1"/>
  <c r="N13" i="2"/>
  <c r="P13" i="2" s="1"/>
  <c r="L14" i="2"/>
  <c r="M14" i="2" s="1"/>
  <c r="N14" i="2" s="1"/>
  <c r="P14" i="2" s="1"/>
  <c r="L15" i="2"/>
  <c r="M15" i="2" s="1"/>
  <c r="N15" i="2"/>
  <c r="P15" i="2" s="1"/>
  <c r="L16" i="2"/>
  <c r="M16" i="2" s="1"/>
  <c r="N16" i="2" s="1"/>
  <c r="P16" i="2" s="1"/>
  <c r="L17" i="2"/>
  <c r="M17" i="2" s="1"/>
  <c r="N17" i="2" s="1"/>
  <c r="P17" i="2" s="1"/>
  <c r="L18" i="2"/>
  <c r="M18" i="2" s="1"/>
  <c r="N18" i="2" s="1"/>
  <c r="P18" i="2" s="1"/>
  <c r="L19" i="2"/>
  <c r="M19" i="2" s="1"/>
  <c r="N19" i="2" s="1"/>
  <c r="P19" i="2" s="1"/>
  <c r="N21" i="2"/>
  <c r="P21" i="2" s="1"/>
  <c r="L22" i="2"/>
  <c r="M22" i="2" s="1"/>
  <c r="N22" i="2" s="1"/>
  <c r="P22" i="2" s="1"/>
  <c r="L23" i="2"/>
  <c r="M23" i="2" s="1"/>
  <c r="N23" i="2" s="1"/>
  <c r="P23" i="2" s="1"/>
  <c r="L24" i="2"/>
  <c r="M24" i="2" s="1"/>
  <c r="N24" i="2" s="1"/>
  <c r="P24" i="2" s="1"/>
  <c r="L25" i="2"/>
  <c r="M25" i="2" s="1"/>
  <c r="N25" i="2" s="1"/>
  <c r="P25" i="2" s="1"/>
  <c r="L26" i="2"/>
  <c r="M26" i="2" s="1"/>
  <c r="N26" i="2" s="1"/>
  <c r="P26" i="2" s="1"/>
  <c r="L27" i="2"/>
  <c r="M27" i="2" s="1"/>
  <c r="N27" i="2"/>
  <c r="P27" i="2" s="1"/>
  <c r="L28" i="2"/>
  <c r="M28" i="2" s="1"/>
  <c r="N28" i="2" s="1"/>
  <c r="P28" i="2" s="1"/>
  <c r="L29" i="2"/>
  <c r="M29" i="2" s="1"/>
  <c r="N29" i="2"/>
  <c r="P29" i="2" s="1"/>
  <c r="L31" i="2"/>
  <c r="M31" i="2" s="1"/>
  <c r="N31" i="2" s="1"/>
  <c r="P31" i="2" s="1"/>
  <c r="L32" i="2"/>
  <c r="M32" i="2" s="1"/>
  <c r="N32" i="2"/>
  <c r="P32" i="2" s="1"/>
  <c r="L33" i="2"/>
  <c r="M33" i="2" s="1"/>
  <c r="N33" i="2" s="1"/>
  <c r="P33" i="2" s="1"/>
  <c r="L34" i="2"/>
  <c r="M34" i="2" s="1"/>
  <c r="N34" i="2" s="1"/>
  <c r="P34" i="2" s="1"/>
  <c r="L35" i="2"/>
  <c r="M35" i="2" s="1"/>
  <c r="N35" i="2" s="1"/>
  <c r="P35" i="2" s="1"/>
  <c r="L36" i="2"/>
  <c r="M36" i="2" s="1"/>
  <c r="N36" i="2" s="1"/>
  <c r="P36" i="2" s="1"/>
  <c r="L37" i="2"/>
  <c r="M37" i="2" s="1"/>
  <c r="N37" i="2" s="1"/>
  <c r="P37" i="2" s="1"/>
  <c r="L38" i="2"/>
  <c r="M38" i="2" s="1"/>
  <c r="N38" i="2"/>
  <c r="P38" i="2" s="1"/>
  <c r="L39" i="2"/>
  <c r="M39" i="2" s="1"/>
  <c r="N39" i="2" s="1"/>
  <c r="P39" i="2" s="1"/>
  <c r="L40" i="2"/>
  <c r="M40" i="2" s="1"/>
  <c r="N40" i="2"/>
  <c r="P40" i="2" s="1"/>
  <c r="N41" i="2"/>
  <c r="P41" i="2" s="1"/>
  <c r="N43" i="2"/>
  <c r="P43" i="2" s="1"/>
  <c r="L44" i="2"/>
  <c r="M44" i="2" s="1"/>
  <c r="N44" i="2" s="1"/>
  <c r="P44" i="2" s="1"/>
  <c r="L45" i="2"/>
  <c r="M45" i="2" s="1"/>
  <c r="N45" i="2" s="1"/>
  <c r="P45" i="2" s="1"/>
  <c r="L48" i="2"/>
  <c r="M48" i="2" s="1"/>
  <c r="N48" i="2" s="1"/>
  <c r="P48" i="2" s="1"/>
  <c r="L49" i="2"/>
  <c r="M49" i="2" s="1"/>
  <c r="N49" i="2"/>
  <c r="P49" i="2" s="1"/>
  <c r="N50" i="2"/>
  <c r="P50" i="2" s="1"/>
  <c r="L51" i="2"/>
  <c r="M51" i="2" s="1"/>
  <c r="N51" i="2" s="1"/>
  <c r="P51" i="2" s="1"/>
  <c r="N52" i="2"/>
  <c r="P52" i="2" s="1"/>
  <c r="L53" i="2"/>
  <c r="M53" i="2" s="1"/>
  <c r="N53" i="2"/>
  <c r="P53" i="2" s="1"/>
  <c r="L54" i="2"/>
  <c r="M54" i="2" s="1"/>
  <c r="N54" i="2" s="1"/>
  <c r="P54" i="2" s="1"/>
  <c r="L55" i="2"/>
  <c r="M55" i="2" s="1"/>
  <c r="N55" i="2"/>
  <c r="P55" i="2" s="1"/>
  <c r="L56" i="2"/>
  <c r="M56" i="2" s="1"/>
  <c r="N56" i="2" s="1"/>
  <c r="P56" i="2" s="1"/>
  <c r="L57" i="2"/>
  <c r="M57" i="2" s="1"/>
  <c r="N57" i="2" s="1"/>
  <c r="P57" i="2" s="1"/>
  <c r="L58" i="2"/>
  <c r="M58" i="2" s="1"/>
  <c r="N58" i="2" s="1"/>
  <c r="P58" i="2" s="1"/>
  <c r="L59" i="2"/>
  <c r="M59" i="2" s="1"/>
  <c r="N59" i="2"/>
  <c r="P59" i="2" s="1"/>
  <c r="L60" i="2"/>
  <c r="M60" i="2" s="1"/>
  <c r="N60" i="2" s="1"/>
  <c r="P60" i="2" s="1"/>
  <c r="N61" i="2"/>
  <c r="P61" i="2" s="1"/>
  <c r="N62" i="2"/>
  <c r="P62" i="2" s="1"/>
  <c r="L63" i="2"/>
  <c r="M63" i="2" s="1"/>
  <c r="N63" i="2" s="1"/>
  <c r="P63" i="2" s="1"/>
  <c r="L64" i="2"/>
  <c r="M64" i="2" s="1"/>
  <c r="N64" i="2" s="1"/>
  <c r="P64" i="2" s="1"/>
  <c r="L65" i="2"/>
  <c r="M65" i="2" s="1"/>
  <c r="N65" i="2"/>
  <c r="P65" i="2" s="1"/>
  <c r="N66" i="2"/>
  <c r="P66" i="2" s="1"/>
  <c r="L68" i="2"/>
  <c r="M68" i="2" s="1"/>
  <c r="N68" i="2" s="1"/>
  <c r="P68" i="2" s="1"/>
  <c r="N69" i="2"/>
  <c r="P69" i="2" s="1"/>
  <c r="L70" i="2"/>
  <c r="M70" i="2" s="1"/>
  <c r="N70" i="2" s="1"/>
  <c r="P70" i="2" s="1"/>
  <c r="L71" i="2"/>
  <c r="M71" i="2" s="1"/>
  <c r="N71" i="2" s="1"/>
  <c r="P71" i="2" s="1"/>
  <c r="L72" i="2"/>
  <c r="M72" i="2" s="1"/>
  <c r="N72" i="2" s="1"/>
  <c r="P72" i="2" s="1"/>
  <c r="N73" i="2"/>
  <c r="P73" i="2" s="1"/>
  <c r="N75" i="2"/>
  <c r="P75" i="2" s="1"/>
  <c r="N76" i="2"/>
  <c r="P76" i="2" s="1"/>
  <c r="L77" i="2"/>
  <c r="M77" i="2" s="1"/>
  <c r="N77" i="2" s="1"/>
  <c r="P77" i="2" s="1"/>
  <c r="L78" i="2"/>
  <c r="M78" i="2" s="1"/>
  <c r="N78" i="2"/>
  <c r="P78" i="2" s="1"/>
  <c r="L79" i="2"/>
  <c r="M79" i="2" s="1"/>
  <c r="N79" i="2" s="1"/>
  <c r="P79" i="2" s="1"/>
  <c r="N80" i="2"/>
  <c r="P80" i="2" s="1"/>
  <c r="L81" i="2"/>
  <c r="M81" i="2" s="1"/>
  <c r="N81" i="2"/>
  <c r="P81" i="2" s="1"/>
  <c r="N83" i="2"/>
  <c r="P83" i="2" s="1"/>
  <c r="L84" i="2"/>
  <c r="M84" i="2" s="1"/>
  <c r="N84" i="2" s="1"/>
  <c r="P84" i="2" s="1"/>
  <c r="L85" i="2"/>
  <c r="M85" i="2" s="1"/>
  <c r="N85" i="2" s="1"/>
  <c r="P85" i="2" s="1"/>
  <c r="L86" i="2"/>
  <c r="M86" i="2" s="1"/>
  <c r="N86" i="2" s="1"/>
  <c r="P86" i="2" s="1"/>
  <c r="L88" i="2"/>
  <c r="M88" i="2" s="1"/>
  <c r="N88" i="2" s="1"/>
  <c r="P88" i="2" s="1"/>
  <c r="N89" i="2"/>
  <c r="P89" i="2" s="1"/>
  <c r="N90" i="2"/>
  <c r="P90" i="2" s="1"/>
  <c r="N93" i="2"/>
  <c r="P93" i="2" s="1"/>
  <c r="L95" i="2"/>
  <c r="M95" i="2" s="1"/>
  <c r="N95" i="2"/>
  <c r="P95" i="2" s="1"/>
  <c r="L96" i="2"/>
  <c r="M96" i="2" s="1"/>
  <c r="N96" i="2" s="1"/>
  <c r="P96" i="2" s="1"/>
  <c r="L97" i="2"/>
  <c r="M97" i="2" s="1"/>
  <c r="N97" i="2" s="1"/>
  <c r="P97" i="2" s="1"/>
  <c r="L98" i="2"/>
  <c r="M98" i="2" s="1"/>
  <c r="N98" i="2" s="1"/>
  <c r="P98" i="2" s="1"/>
  <c r="L99" i="2"/>
  <c r="M99" i="2" s="1"/>
  <c r="N99" i="2" s="1"/>
  <c r="P99" i="2" s="1"/>
  <c r="L100" i="2"/>
  <c r="M100" i="2" s="1"/>
  <c r="N100" i="2" s="1"/>
  <c r="P100" i="2" s="1"/>
  <c r="L101" i="2"/>
  <c r="M101" i="2" s="1"/>
  <c r="N101" i="2"/>
  <c r="P101" i="2" s="1"/>
  <c r="L102" i="2"/>
  <c r="M102" i="2" s="1"/>
  <c r="N102" i="2" s="1"/>
  <c r="P102" i="2" s="1"/>
  <c r="L103" i="2"/>
  <c r="M103" i="2" s="1"/>
  <c r="N103" i="2"/>
  <c r="P103" i="2" s="1"/>
  <c r="L104" i="2"/>
  <c r="M104" i="2" s="1"/>
  <c r="N104" i="2" s="1"/>
  <c r="P104" i="2" s="1"/>
  <c r="L105" i="2"/>
  <c r="M105" i="2" s="1"/>
  <c r="N105" i="2"/>
  <c r="P105" i="2" s="1"/>
  <c r="N106" i="2"/>
  <c r="P106" i="2" s="1"/>
  <c r="L107" i="2"/>
  <c r="M107" i="2" s="1"/>
  <c r="N107" i="2" s="1"/>
  <c r="P107" i="2" s="1"/>
  <c r="L108" i="2"/>
  <c r="M108" i="2" s="1"/>
  <c r="N108" i="2" s="1"/>
  <c r="P108" i="2" s="1"/>
  <c r="L109" i="2"/>
  <c r="M109" i="2" s="1"/>
  <c r="N109" i="2" s="1"/>
  <c r="P109" i="2" s="1"/>
  <c r="L110" i="2"/>
  <c r="M110" i="2" s="1"/>
  <c r="N110" i="2" s="1"/>
  <c r="P110" i="2" s="1"/>
  <c r="N111" i="2"/>
  <c r="P111" i="2" s="1"/>
  <c r="N112" i="2"/>
  <c r="P112" i="2" s="1"/>
  <c r="L113" i="2"/>
  <c r="M113" i="2" s="1"/>
  <c r="N113" i="2" s="1"/>
  <c r="P113" i="2" s="1"/>
  <c r="L114" i="2"/>
  <c r="M114" i="2" s="1"/>
  <c r="N114" i="2" s="1"/>
  <c r="P114" i="2" s="1"/>
  <c r="L115" i="2"/>
  <c r="M115" i="2" s="1"/>
  <c r="N115" i="2" s="1"/>
  <c r="P115" i="2" s="1"/>
  <c r="L116" i="2"/>
  <c r="M116" i="2" s="1"/>
  <c r="N116" i="2" s="1"/>
  <c r="P116" i="2" s="1"/>
  <c r="N117" i="2"/>
  <c r="P117" i="2" s="1"/>
  <c r="N118" i="2"/>
  <c r="P118" i="2" s="1"/>
  <c r="N119" i="2"/>
  <c r="P119" i="2" s="1"/>
  <c r="N120" i="2"/>
  <c r="P120" i="2" s="1"/>
  <c r="L122" i="2"/>
  <c r="M122" i="2" s="1"/>
  <c r="N122" i="2" s="1"/>
  <c r="P122" i="2" s="1"/>
  <c r="L124" i="2"/>
  <c r="M124" i="2" s="1"/>
  <c r="N124" i="2"/>
  <c r="P124" i="2" s="1"/>
  <c r="L125" i="2"/>
  <c r="M125" i="2" s="1"/>
  <c r="N125" i="2" s="1"/>
  <c r="P125" i="2" s="1"/>
  <c r="L126" i="2"/>
  <c r="M126" i="2" s="1"/>
  <c r="N126" i="2" s="1"/>
  <c r="P126" i="2" s="1"/>
  <c r="N127" i="2"/>
  <c r="P127" i="2" s="1"/>
  <c r="L129" i="2"/>
  <c r="M129" i="2" s="1"/>
  <c r="N129" i="2" s="1"/>
  <c r="P129" i="2" s="1"/>
  <c r="L130" i="2"/>
  <c r="M130" i="2" s="1"/>
  <c r="N130" i="2"/>
  <c r="P130" i="2" s="1"/>
  <c r="L131" i="2"/>
  <c r="M131" i="2" s="1"/>
  <c r="N131" i="2" s="1"/>
  <c r="P131" i="2" s="1"/>
  <c r="N132" i="2"/>
  <c r="P132" i="2" s="1"/>
  <c r="L133" i="2"/>
  <c r="M133" i="2" s="1"/>
  <c r="N133" i="2" s="1"/>
  <c r="P133" i="2" s="1"/>
  <c r="L134" i="2"/>
  <c r="M134" i="2" s="1"/>
  <c r="N134" i="2" s="1"/>
  <c r="P134" i="2" s="1"/>
  <c r="N135" i="2"/>
  <c r="P135" i="2" s="1"/>
  <c r="L137" i="2"/>
  <c r="M137" i="2" s="1"/>
  <c r="N137" i="2"/>
  <c r="P137" i="2" s="1"/>
  <c r="N138" i="2"/>
  <c r="P138" i="2" s="1"/>
  <c r="L139" i="2"/>
  <c r="M139" i="2" s="1"/>
  <c r="N139" i="2" s="1"/>
  <c r="P139" i="2" s="1"/>
  <c r="L140" i="2"/>
  <c r="M140" i="2" s="1"/>
  <c r="N140" i="2"/>
  <c r="P140" i="2" s="1"/>
  <c r="L141" i="2"/>
  <c r="M141" i="2" s="1"/>
  <c r="N141" i="2" s="1"/>
  <c r="P141" i="2" s="1"/>
  <c r="L142" i="2"/>
  <c r="M142" i="2" s="1"/>
  <c r="N142" i="2"/>
  <c r="P142" i="2" s="1"/>
  <c r="L143" i="2"/>
  <c r="M143" i="2" s="1"/>
  <c r="N143" i="2" s="1"/>
  <c r="P143" i="2" s="1"/>
  <c r="L144" i="2"/>
  <c r="M144" i="2" s="1"/>
  <c r="N144" i="2" s="1"/>
  <c r="P144" i="2" s="1"/>
  <c r="L145" i="2"/>
  <c r="M145" i="2" s="1"/>
  <c r="N145" i="2" s="1"/>
  <c r="P145" i="2" s="1"/>
  <c r="N147" i="2"/>
  <c r="P147" i="2" s="1"/>
  <c r="L148" i="2"/>
  <c r="M148" i="2" s="1"/>
  <c r="N148" i="2"/>
  <c r="P148" i="2" s="1"/>
  <c r="L149" i="2"/>
  <c r="M149" i="2" s="1"/>
  <c r="N149" i="2" s="1"/>
  <c r="P149" i="2" s="1"/>
  <c r="L151" i="2"/>
  <c r="M151" i="2" s="1"/>
  <c r="N151" i="2" s="1"/>
  <c r="P151" i="2" s="1"/>
  <c r="L152" i="2"/>
  <c r="M152" i="2" s="1"/>
  <c r="N152" i="2" s="1"/>
  <c r="P152" i="2" s="1"/>
  <c r="N153" i="2"/>
  <c r="P153" i="2" s="1"/>
  <c r="L154" i="2"/>
  <c r="M154" i="2" s="1"/>
  <c r="N154" i="2"/>
  <c r="P154" i="2" s="1"/>
  <c r="L155" i="2"/>
  <c r="M155" i="2" s="1"/>
  <c r="N155" i="2" s="1"/>
  <c r="P155" i="2" s="1"/>
  <c r="L156" i="2"/>
  <c r="M156" i="2" s="1"/>
  <c r="N156" i="2" s="1"/>
  <c r="P156" i="2" s="1"/>
  <c r="L158" i="2"/>
  <c r="M158" i="2" s="1"/>
  <c r="N158" i="2" s="1"/>
  <c r="P158" i="2" s="1"/>
  <c r="L159" i="2"/>
  <c r="M159" i="2" s="1"/>
  <c r="N159" i="2" s="1"/>
  <c r="P159" i="2" s="1"/>
  <c r="L160" i="2"/>
  <c r="M160" i="2" s="1"/>
  <c r="N160" i="2" s="1"/>
  <c r="P160" i="2" s="1"/>
  <c r="L161" i="2"/>
  <c r="M161" i="2" s="1"/>
  <c r="N161" i="2" s="1"/>
  <c r="P161" i="2" s="1"/>
  <c r="L162" i="2"/>
  <c r="M162" i="2" s="1"/>
  <c r="N162" i="2" s="1"/>
  <c r="P162" i="2" s="1"/>
  <c r="L163" i="2"/>
  <c r="M163" i="2" s="1"/>
  <c r="N163" i="2"/>
  <c r="P163" i="2" s="1"/>
  <c r="N164" i="2"/>
  <c r="P164" i="2" s="1"/>
  <c r="L165" i="2"/>
  <c r="M165" i="2" s="1"/>
  <c r="N165" i="2" s="1"/>
  <c r="P165" i="2" s="1"/>
  <c r="L166" i="2"/>
  <c r="M166" i="2" s="1"/>
  <c r="N166" i="2"/>
  <c r="P166" i="2" s="1"/>
  <c r="L167" i="2"/>
  <c r="M167" i="2" s="1"/>
  <c r="N167" i="2" s="1"/>
  <c r="P167" i="2" s="1"/>
  <c r="L168" i="2"/>
  <c r="M168" i="2" s="1"/>
  <c r="N168" i="2" s="1"/>
  <c r="P168" i="2" s="1"/>
  <c r="L169" i="2"/>
  <c r="M169" i="2" s="1"/>
  <c r="N169" i="2" s="1"/>
  <c r="P169" i="2" s="1"/>
  <c r="L170" i="2"/>
  <c r="M170" i="2" s="1"/>
  <c r="N170" i="2" s="1"/>
  <c r="P170" i="2" s="1"/>
  <c r="L171" i="2"/>
  <c r="M171" i="2" s="1"/>
  <c r="N171" i="2" s="1"/>
  <c r="P171" i="2" s="1"/>
  <c r="L172" i="2"/>
  <c r="M172" i="2" s="1"/>
  <c r="N172" i="2" s="1"/>
  <c r="P172" i="2" s="1"/>
  <c r="C8" i="1"/>
</calcChain>
</file>

<file path=xl/sharedStrings.xml><?xml version="1.0" encoding="utf-8"?>
<sst xmlns="http://schemas.openxmlformats.org/spreadsheetml/2006/main" count="10646" uniqueCount="290">
  <si>
    <t>Total Plants</t>
  </si>
  <si>
    <t>Tridentata</t>
  </si>
  <si>
    <t>Low</t>
  </si>
  <si>
    <t>High</t>
  </si>
  <si>
    <t>Vaseyana</t>
  </si>
  <si>
    <t>Wyomingensis</t>
  </si>
  <si>
    <t>Plant ID</t>
  </si>
  <si>
    <t>Subspecies</t>
  </si>
  <si>
    <t>State</t>
  </si>
  <si>
    <t>Ploidy</t>
  </si>
  <si>
    <t>Provenance</t>
  </si>
  <si>
    <t>Type of Herbivory</t>
  </si>
  <si>
    <t>Level of Herbivory</t>
  </si>
  <si>
    <t>Extraction Weight (g)</t>
  </si>
  <si>
    <t>GC Vial Weight (g)</t>
  </si>
  <si>
    <t>GC Wet Weight (g)</t>
  </si>
  <si>
    <t>GC Dry and Vial Weight (g)</t>
  </si>
  <si>
    <t>Dry Weight (g)</t>
  </si>
  <si>
    <t>% Dry weight</t>
  </si>
  <si>
    <t>Dry Weight of Extracted Samples</t>
  </si>
  <si>
    <t>Volume</t>
  </si>
  <si>
    <t>Volume (High or Low)</t>
  </si>
  <si>
    <t>%N</t>
  </si>
  <si>
    <t>%C</t>
  </si>
  <si>
    <t>Total Area Under the Peak</t>
  </si>
  <si>
    <t>V</t>
  </si>
  <si>
    <t>UT</t>
  </si>
  <si>
    <t>4n</t>
  </si>
  <si>
    <t>l</t>
  </si>
  <si>
    <t>T</t>
  </si>
  <si>
    <t>WA</t>
  </si>
  <si>
    <t>h</t>
  </si>
  <si>
    <t>OR</t>
  </si>
  <si>
    <t>2n</t>
  </si>
  <si>
    <t>n</t>
  </si>
  <si>
    <t>W</t>
  </si>
  <si>
    <t>MT</t>
  </si>
  <si>
    <t>NM</t>
  </si>
  <si>
    <t>fly/aphids</t>
  </si>
  <si>
    <t>m</t>
  </si>
  <si>
    <t>aphids</t>
  </si>
  <si>
    <t>ant</t>
  </si>
  <si>
    <t>CA</t>
  </si>
  <si>
    <t>AZ</t>
  </si>
  <si>
    <t>caterpillar</t>
  </si>
  <si>
    <t>ID</t>
  </si>
  <si>
    <t>CO</t>
  </si>
  <si>
    <t>beetle</t>
  </si>
  <si>
    <t>NV</t>
  </si>
  <si>
    <t>fly</t>
  </si>
  <si>
    <t>pupa/aphids</t>
  </si>
  <si>
    <t>galls/aphids</t>
  </si>
  <si>
    <t>WY</t>
  </si>
  <si>
    <t>Total # of Peaks</t>
  </si>
  <si>
    <t>Total AUC 28min</t>
  </si>
  <si>
    <t>Total # Peaks 28min</t>
  </si>
  <si>
    <t>uM TP</t>
  </si>
  <si>
    <t>mM TP per gram dry weight (mM TP/g DW)</t>
  </si>
  <si>
    <t>Total</t>
  </si>
  <si>
    <t>Dry Weight (mg)</t>
  </si>
  <si>
    <t>AUC/mgDW</t>
  </si>
  <si>
    <t>Vaseyana high</t>
  </si>
  <si>
    <t>Vaseyana low</t>
  </si>
  <si>
    <t>Tridentata low</t>
  </si>
  <si>
    <t>Wyomingensis high</t>
  </si>
  <si>
    <t>Wyomingensis low</t>
  </si>
  <si>
    <t xml:space="preserve">Tridentata high </t>
  </si>
  <si>
    <t>SE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</si>
  <si>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</si>
  <si>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</si>
  <si>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</si>
  <si>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</si>
  <si>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</si>
  <si>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</si>
  <si>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</si>
  <si>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</si>
  <si>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</si>
  <si>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</si>
  <si>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</si>
  <si>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high</t>
  </si>
  <si>
    <t>low</t>
  </si>
  <si>
    <t>tridentata</t>
  </si>
  <si>
    <t>Count</t>
  </si>
  <si>
    <t>SEM</t>
  </si>
  <si>
    <t>AUC Unknown 3.2</t>
  </si>
  <si>
    <t>AUC</t>
  </si>
  <si>
    <t>Original</t>
  </si>
  <si>
    <t>Outliers Removed in JUMP</t>
  </si>
  <si>
    <t>Original - no outliers found in JUMP</t>
  </si>
  <si>
    <t>Distributions Subspecies=T, Volume (High or Low)=Low</t>
  </si>
  <si>
    <t>Summary Statistics</t>
  </si>
  <si>
    <t xml:space="preserve"> </t>
  </si>
  <si>
    <t>Std Dev</t>
  </si>
  <si>
    <t>Std Err Mean</t>
  </si>
  <si>
    <t>Upper 95% Mean</t>
  </si>
  <si>
    <t>Lower 95% Mean</t>
  </si>
  <si>
    <t>N</t>
  </si>
  <si>
    <t>Fitted Normal</t>
  </si>
  <si>
    <t>Goodness-of-Fit Test</t>
  </si>
  <si>
    <t xml:space="preserve"> Shapiro-Wilk W Test</t>
  </si>
  <si>
    <t>Prob&lt;W</t>
  </si>
  <si>
    <t>Distributions Subspecies=T, Volume (High or Low)=High</t>
  </si>
  <si>
    <t>Distributions Subspecies=V, Volume (High or Low)=Low</t>
  </si>
  <si>
    <t>Distributions Subspecies=V, Volume (High or Low)=High</t>
  </si>
  <si>
    <t>Distributions Subspecies=W, Volume (High or Low)=Low</t>
  </si>
  <si>
    <t>Distributions Subspecies=W, Volume (High or Low)=High</t>
  </si>
  <si>
    <t>Oneway Analysis of mM TP per gram dry weight (mM TP/g DW) By Volume (High or Low) Subspecies=T</t>
  </si>
  <si>
    <t>Missing Rows</t>
  </si>
  <si>
    <t>t Test</t>
  </si>
  <si>
    <t>High-Low</t>
  </si>
  <si>
    <t>Assuming unequal variances</t>
  </si>
  <si>
    <t>Difference</t>
  </si>
  <si>
    <t>t Ratio</t>
  </si>
  <si>
    <t>Std Err Dif</t>
  </si>
  <si>
    <t>DF</t>
  </si>
  <si>
    <t>Upper CL Dif</t>
  </si>
  <si>
    <t>Prob &gt; |t|</t>
  </si>
  <si>
    <t>Lower CL Dif</t>
  </si>
  <si>
    <t>Prob &gt; t</t>
  </si>
  <si>
    <t>Confidence</t>
  </si>
  <si>
    <t>Prob &lt; t</t>
  </si>
  <si>
    <t>Oneway Analysis of mM TP per gram dry weight (mM TP/g DW) By Volume (High or Low) Subspecies=V</t>
  </si>
  <si>
    <t>Oneway Analysis of mM TP per gram dry weight (mM TP/g DW) By Volume (High or Low) Subspecies=W</t>
  </si>
  <si>
    <t>&lt;.0001</t>
  </si>
  <si>
    <t xml:space="preserve"> Normal(1541.82,438.087)</t>
  </si>
  <si>
    <t xml:space="preserve"> Normal(1363.81,441.702)</t>
  </si>
  <si>
    <t xml:space="preserve"> Normal(1308.71,472.857)</t>
  </si>
  <si>
    <t xml:space="preserve"> Normal(1229.39,187.251)</t>
  </si>
  <si>
    <t xml:space="preserve"> Normal(1478.37,356.546)</t>
  </si>
  <si>
    <t xml:space="preserve"> Normal(1454.52,346.123)</t>
  </si>
  <si>
    <t xml:space="preserve"> Normal(69.8065,6.53921)</t>
  </si>
  <si>
    <t xml:space="preserve"> Normal(68.5526,7.49666)</t>
  </si>
  <si>
    <t xml:space="preserve"> Normal(69.4091,5.38657)</t>
  </si>
  <si>
    <t xml:space="preserve"> Normal(71.84,6.20269)</t>
  </si>
  <si>
    <t xml:space="preserve"> Normal(70.0435,5.61231)</t>
  </si>
  <si>
    <t xml:space="preserve"> Normal(70.8462,5.54756)</t>
  </si>
  <si>
    <t>Outliers Removed in JUMP-High/Low volume</t>
  </si>
  <si>
    <t>Oneway Analysis of Total # Peaks 28min By Volume (High or Low) Subspecies=T</t>
  </si>
  <si>
    <t>Oneway Analysis of Total # Peaks 28min By Volume (High or Low) Subspecies=V</t>
  </si>
  <si>
    <t>Oneway Analysis of Total # Peaks 28min By Volume (High or Low) Subspecies=W</t>
  </si>
  <si>
    <t>T-tests</t>
  </si>
  <si>
    <t>Oneway Analysis of Total # Peaks 28min By Subspecies</t>
  </si>
  <si>
    <t>Oneway Anova</t>
  </si>
  <si>
    <t>Summary of Fit</t>
  </si>
  <si>
    <t>Rsquare</t>
  </si>
  <si>
    <t>Adj Rsquare</t>
  </si>
  <si>
    <t>Root Mean Square Error</t>
  </si>
  <si>
    <t>Mean of Response</t>
  </si>
  <si>
    <t>Observations (or Sum Wgts)</t>
  </si>
  <si>
    <t>Analysis of Variance</t>
  </si>
  <si>
    <t>Source</t>
  </si>
  <si>
    <t>Sum of Squares</t>
  </si>
  <si>
    <t>Mean Square</t>
  </si>
  <si>
    <t>F Ratio</t>
  </si>
  <si>
    <t>Prob &gt; F</t>
  </si>
  <si>
    <t>Error</t>
  </si>
  <si>
    <t>C. Total</t>
  </si>
  <si>
    <t>Means for Oneway Anova</t>
  </si>
  <si>
    <t>Level</t>
  </si>
  <si>
    <t>Number</t>
  </si>
  <si>
    <t>Std Error</t>
  </si>
  <si>
    <t>Lower 95%</t>
  </si>
  <si>
    <t>Upper 95%</t>
  </si>
  <si>
    <t>Std Error uses a pooled estimate of error variance</t>
  </si>
  <si>
    <t>Means Comparisons</t>
  </si>
  <si>
    <t>Comparisons for all pairs using Tukey-Kramer HSD</t>
  </si>
  <si>
    <t>Confidence Quantile</t>
  </si>
  <si>
    <t>q*</t>
  </si>
  <si>
    <t>Alpha</t>
  </si>
  <si>
    <t>LSD Threshold Matrix</t>
  </si>
  <si>
    <t>Abs(Dif)-HSD</t>
  </si>
  <si>
    <t>Positive values show pairs of means that are significantly different.</t>
  </si>
  <si>
    <t>Connecting Letters Report</t>
  </si>
  <si>
    <t>A</t>
  </si>
  <si>
    <t>Levels not connected by same letter are significantly different.</t>
  </si>
  <si>
    <t>Ordered Differences Report</t>
  </si>
  <si>
    <t xml:space="preserve"> - Level</t>
  </si>
  <si>
    <t>Lower CL</t>
  </si>
  <si>
    <t>Upper CL</t>
  </si>
  <si>
    <t>p-Value</t>
  </si>
  <si>
    <t xml:space="preserve">                         </t>
  </si>
  <si>
    <t xml:space="preserve"> Normal(2481.61,1102.98)</t>
  </si>
  <si>
    <t xml:space="preserve"> Normal(43510.2,21347.1)</t>
  </si>
  <si>
    <t xml:space="preserve"> Normal(2031.52,960.239)</t>
  </si>
  <si>
    <t xml:space="preserve"> Normal(17286.4,4561.64)</t>
  </si>
  <si>
    <t xml:space="preserve"> Normal(1847.69,957.103)</t>
  </si>
  <si>
    <t xml:space="preserve"> Normal(12498,3181.96)</t>
  </si>
  <si>
    <t xml:space="preserve"> Normal(3.4925,0.6596)</t>
  </si>
  <si>
    <t xml:space="preserve"> Normal(3.43321,0.46526)</t>
  </si>
  <si>
    <t xml:space="preserve"> Normal(3.17065,0.51215)</t>
  </si>
  <si>
    <t xml:space="preserve"> Normal(2.86904,0.64603)</t>
  </si>
  <si>
    <t xml:space="preserve"> Normal(3.44125,0.40271)</t>
  </si>
  <si>
    <t xml:space="preserve"> Normal(3.36464,0.53452)</t>
  </si>
  <si>
    <t>Wilcoxon / Kruskal-Wallis Tests (Rank Sums)</t>
  </si>
  <si>
    <t>Score Sum</t>
  </si>
  <si>
    <t>Expected Score</t>
  </si>
  <si>
    <t>Score Mean</t>
  </si>
  <si>
    <t>(Mean-Mean0)/Std0</t>
  </si>
  <si>
    <t>1-way Test, ChiSquare Approximation</t>
  </si>
  <si>
    <t>ChiSquare</t>
  </si>
  <si>
    <t>Prob&gt;ChiSq</t>
  </si>
  <si>
    <t>Outliers removed in JUMP (subspecies)</t>
  </si>
  <si>
    <t>Oneway Analysis of AUC/mgDW By Volume (High or Low) Subspecies=T</t>
  </si>
  <si>
    <t>2-Sample Test, Normal Approximation</t>
  </si>
  <si>
    <t>S</t>
  </si>
  <si>
    <t>Z</t>
  </si>
  <si>
    <t>Prob&gt;|Z|</t>
  </si>
  <si>
    <t>Oneway Analysis of AUC/mgDW By Volume (High or Low) Subspecies=V</t>
  </si>
  <si>
    <t>Distributions Subspecies=T</t>
  </si>
  <si>
    <t xml:space="preserve"> Normal(69.1159,7.0597)</t>
  </si>
  <si>
    <t>Distributions Subspecies=V</t>
  </si>
  <si>
    <t xml:space="preserve"> Normal(70.7021,5.90105)</t>
  </si>
  <si>
    <t>Distributions Subspecies=W</t>
  </si>
  <si>
    <t xml:space="preserve"> Normal(70.4694,5.53437)</t>
  </si>
  <si>
    <t>Normality for Subspecies</t>
  </si>
  <si>
    <t>Outliers removed in JUMP (H/L)</t>
  </si>
  <si>
    <t>Oneway Analysis of %N By Volume (High or Low) Subspecies=T</t>
  </si>
  <si>
    <t>Oneway Analysis of %N By Volume (High or Low) Subspecies=V</t>
  </si>
  <si>
    <t>Oneway Analysis of %N By Volume (High or Low) Subspecies=W</t>
  </si>
  <si>
    <t>Oneway Analysis of %N By Subspecies</t>
  </si>
  <si>
    <t>Oneway Analysis of Volume By Volume (High or Low) Subspecies=T</t>
  </si>
  <si>
    <t>Oneway Analysis of Volume By Volume (High or Low) Subspecies=V</t>
  </si>
  <si>
    <t>Oneway Analysis of Volume By Volume (High or Low) Subspecies=W</t>
  </si>
  <si>
    <t>Oneway Analysis of Volume By Subspecies</t>
  </si>
  <si>
    <t>Wilcoxon Test Within Subspecies</t>
  </si>
  <si>
    <t>Wilcoxon Test Among Subspecies</t>
  </si>
  <si>
    <t>B</t>
  </si>
  <si>
    <t xml:space="preserve">     +++++++++++         </t>
  </si>
  <si>
    <t xml:space="preserve">     +++++++             </t>
  </si>
  <si>
    <t xml:space="preserve">     ++++                </t>
  </si>
  <si>
    <t xml:space="preserve">       +++++++++         </t>
  </si>
  <si>
    <t xml:space="preserve">       ++++++++          </t>
  </si>
  <si>
    <t xml:space="preserve">       +                 </t>
  </si>
  <si>
    <t xml:space="preserve">     +++++++++++++       </t>
  </si>
  <si>
    <t xml:space="preserve">     ++                  </t>
  </si>
  <si>
    <t xml:space="preserve">     ++++++++++++++      </t>
  </si>
  <si>
    <t xml:space="preserve">     ++++++++++++        </t>
  </si>
  <si>
    <t>Oneway Analysis of AUC/mgDW By Volume (High or Low) Subspecies=W</t>
  </si>
  <si>
    <t>Wilcoxon within subspecies</t>
  </si>
  <si>
    <t>Wilcoxon among subspecies</t>
  </si>
  <si>
    <t>Oneway Analysis of AUC/mgDW By Subspecies</t>
  </si>
  <si>
    <t xml:space="preserve">   +++++++++++++         </t>
  </si>
  <si>
    <t xml:space="preserve">   ++++++++              </t>
  </si>
  <si>
    <t xml:space="preserve">   +++++                 </t>
  </si>
  <si>
    <t xml:space="preserve">       ++++++            </t>
  </si>
  <si>
    <t xml:space="preserve">       +++               </t>
  </si>
  <si>
    <t>TriHigh</t>
  </si>
  <si>
    <t>TriLow</t>
  </si>
  <si>
    <t>VasHigh</t>
  </si>
  <si>
    <t>VasLow</t>
  </si>
  <si>
    <t>WyoHigh</t>
  </si>
  <si>
    <t>WyoLow</t>
  </si>
  <si>
    <t>Outliers Removed in JMP (H/L)</t>
  </si>
  <si>
    <t>Outliers removed in JMP (subspecies)</t>
  </si>
  <si>
    <t>Distributions Volume (High or Low)=Low, Subspecies=T</t>
  </si>
  <si>
    <t>Distributions Volume (High or Low)=Low, Subspecies=V</t>
  </si>
  <si>
    <t>Distributions Volume (High or Low)=Low, Subspecies=W</t>
  </si>
  <si>
    <t>Distributions Volume (High or Low)=High, Subspecies=T</t>
  </si>
  <si>
    <t>Distributions Volume (High or Low)=High, Subspecies=V</t>
  </si>
  <si>
    <t>Distributions Volume (High or Low)=High, Subspecies=W</t>
  </si>
  <si>
    <t>Wilcoxon Within subspecies</t>
  </si>
  <si>
    <t xml:space="preserve">          +++++          </t>
  </si>
  <si>
    <t xml:space="preserve">          +              </t>
  </si>
  <si>
    <t>blue=2n</t>
  </si>
  <si>
    <t>red=4n</t>
  </si>
  <si>
    <t xml:space="preserve">blue=2n </t>
  </si>
  <si>
    <t>1,8 Cineole AUC</t>
  </si>
  <si>
    <t>Unknown 3.2 AUC</t>
  </si>
  <si>
    <t xml:space="preserve"> Normal(139.567,34.4361)</t>
  </si>
  <si>
    <t>Parameter Estimates</t>
  </si>
  <si>
    <t>Type</t>
  </si>
  <si>
    <t>Parameter</t>
  </si>
  <si>
    <t>Estimate</t>
  </si>
  <si>
    <t>Location</t>
  </si>
  <si>
    <t>μ</t>
  </si>
  <si>
    <t>Dispersion</t>
  </si>
  <si>
    <t>σ</t>
  </si>
  <si>
    <t>-2log(Likelihood) = 286.566585183485</t>
  </si>
  <si>
    <t>Note: Ho = The data is from the Normal distribution. Small p-values reject Ho.</t>
  </si>
  <si>
    <t xml:space="preserve"> Normal(148.691,31.9146)</t>
  </si>
  <si>
    <t>-2log(Likelihood) = 379.796189519368</t>
  </si>
  <si>
    <t xml:space="preserve"> Normal(132.468,26.1697)</t>
  </si>
  <si>
    <t>-2log(Likelihood) = 176.974501968812</t>
  </si>
  <si>
    <t xml:space="preserve"> Normal(133.817,38.5981)</t>
  </si>
  <si>
    <t>-2log(Likelihood) = 252.607099076277</t>
  </si>
  <si>
    <t xml:space="preserve"> Normal(116.384,20.3609)</t>
  </si>
  <si>
    <t>-2log(Likelihood) = 211.762592946088</t>
  </si>
  <si>
    <t xml:space="preserve"> Normal(135.044,26.2383)</t>
  </si>
  <si>
    <t>-2log(Likelihood) = 242.680294493837</t>
  </si>
  <si>
    <t>Wilcoxon within subspecies (High vs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</si>
</sst>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00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 wrapText="1"/>
    </xf>
    <xf numFmtId="0" fontId="0" fillId="0" borderId="10" xfId="0" applyBorder="1"/>
    <xf numFmtId="11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1" xfId="0" applyFont="1" applyBorder="1" applyAlignment="1">
      <alignment wrapText="1"/>
    </xf>
    <xf numFmtId="0" fontId="0" fillId="0" borderId="12" xfId="0" applyBorder="1"/>
    <xf numFmtId="0" fontId="3" fillId="0" borderId="13" xfId="0" applyFont="1" applyBorder="1" applyAlignment="1">
      <alignment horizontal="center"/>
    </xf>
    <xf numFmtId="0" fontId="0" fillId="0" borderId="14" xfId="0" applyBorder="1"/>
    <xf numFmtId="0" fontId="0" fillId="2" borderId="0" xfId="0" applyFill="1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High Volume Correlation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3285214348206"/>
          <c:y val="4.6770924467774859E-2"/>
          <c:w val="0.79605336832895901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v>Tridentata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4207939632545931"/>
                  <c:y val="-0.347439851268591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Phenolics'!$D$4:$D$42</c:f>
              <c:numCache>
                <c:formatCode>General</c:formatCode>
                <c:ptCount val="39"/>
                <c:pt idx="0">
                  <c:v>1725.0727540487001</c:v>
                </c:pt>
                <c:pt idx="1">
                  <c:v>1477.151731405896</c:v>
                </c:pt>
                <c:pt idx="2">
                  <c:v>922.99516315900848</c:v>
                </c:pt>
                <c:pt idx="3">
                  <c:v>616.58133950221736</c:v>
                </c:pt>
                <c:pt idx="4">
                  <c:v>2982.9294780949149</c:v>
                </c:pt>
                <c:pt idx="5">
                  <c:v>1373.0660240347561</c:v>
                </c:pt>
                <c:pt idx="6">
                  <c:v>4510.8689016262942</c:v>
                </c:pt>
                <c:pt idx="7">
                  <c:v>1919.781239993162</c:v>
                </c:pt>
                <c:pt idx="8">
                  <c:v>55338.964187336656</c:v>
                </c:pt>
                <c:pt idx="9">
                  <c:v>3177.4090215219439</c:v>
                </c:pt>
                <c:pt idx="10">
                  <c:v>3358.4257513428879</c:v>
                </c:pt>
                <c:pt idx="11">
                  <c:v>3251.1360477688859</c:v>
                </c:pt>
                <c:pt idx="12">
                  <c:v>3104.8051272150328</c:v>
                </c:pt>
                <c:pt idx="13">
                  <c:v>2581.5306728871287</c:v>
                </c:pt>
                <c:pt idx="14">
                  <c:v>11943.106411943594</c:v>
                </c:pt>
                <c:pt idx="15">
                  <c:v>1430.6063109113359</c:v>
                </c:pt>
                <c:pt idx="16">
                  <c:v>2242.6251952931575</c:v>
                </c:pt>
                <c:pt idx="17">
                  <c:v>1118.7839087757541</c:v>
                </c:pt>
                <c:pt idx="18">
                  <c:v>2352.0711498345081</c:v>
                </c:pt>
                <c:pt idx="19">
                  <c:v>13360.171691969352</c:v>
                </c:pt>
                <c:pt idx="20">
                  <c:v>12429.650399596905</c:v>
                </c:pt>
                <c:pt idx="21">
                  <c:v>15902.390154094328</c:v>
                </c:pt>
                <c:pt idx="22">
                  <c:v>8339.3179557126423</c:v>
                </c:pt>
                <c:pt idx="23">
                  <c:v>2313.7922680627848</c:v>
                </c:pt>
                <c:pt idx="24">
                  <c:v>900.26232644626964</c:v>
                </c:pt>
                <c:pt idx="25">
                  <c:v>3187.8724896010053</c:v>
                </c:pt>
                <c:pt idx="26">
                  <c:v>7794.7814620102381</c:v>
                </c:pt>
                <c:pt idx="27">
                  <c:v>67113.076308910415</c:v>
                </c:pt>
                <c:pt idx="28">
                  <c:v>14250.566137660617</c:v>
                </c:pt>
                <c:pt idx="29">
                  <c:v>3084.2662405814831</c:v>
                </c:pt>
                <c:pt idx="30">
                  <c:v>3166.9684745028849</c:v>
                </c:pt>
                <c:pt idx="31">
                  <c:v>16365.537880253478</c:v>
                </c:pt>
                <c:pt idx="32">
                  <c:v>8805.1345863059323</c:v>
                </c:pt>
                <c:pt idx="33">
                  <c:v>26051.563749458812</c:v>
                </c:pt>
                <c:pt idx="34">
                  <c:v>2275.9309699281694</c:v>
                </c:pt>
                <c:pt idx="35">
                  <c:v>2242.6251952931575</c:v>
                </c:pt>
                <c:pt idx="36">
                  <c:v>620.09128180004541</c:v>
                </c:pt>
                <c:pt idx="37">
                  <c:v>11213.114621179146</c:v>
                </c:pt>
                <c:pt idx="38">
                  <c:v>11273.79151709617</c:v>
                </c:pt>
              </c:numCache>
            </c:numRef>
          </c:xVal>
          <c:yVal>
            <c:numRef>
              <c:f>'Total Phenolics'!$C$4:$C$42</c:f>
              <c:numCache>
                <c:formatCode>General</c:formatCode>
                <c:ptCount val="39"/>
                <c:pt idx="0">
                  <c:v>146.15098696353175</c:v>
                </c:pt>
                <c:pt idx="1">
                  <c:v>196.51698155955538</c:v>
                </c:pt>
                <c:pt idx="2">
                  <c:v>194.81669726399687</c:v>
                </c:pt>
                <c:pt idx="3">
                  <c:v>98.407986233953807</c:v>
                </c:pt>
                <c:pt idx="4">
                  <c:v>91.633122051994363</c:v>
                </c:pt>
                <c:pt idx="5">
                  <c:v>130.82774580659071</c:v>
                </c:pt>
                <c:pt idx="6">
                  <c:v>105.56276197879112</c:v>
                </c:pt>
                <c:pt idx="7">
                  <c:v>153.84992662719947</c:v>
                </c:pt>
                <c:pt idx="8">
                  <c:v>100.82489213670438</c:v>
                </c:pt>
                <c:pt idx="9">
                  <c:v>133.03939052645902</c:v>
                </c:pt>
                <c:pt idx="10">
                  <c:v>92.259098262813495</c:v>
                </c:pt>
                <c:pt idx="11">
                  <c:v>183.49622134017946</c:v>
                </c:pt>
                <c:pt idx="12">
                  <c:v>121.0198880459525</c:v>
                </c:pt>
                <c:pt idx="13">
                  <c:v>153.2413593288783</c:v>
                </c:pt>
                <c:pt idx="14">
                  <c:v>118.02323587360854</c:v>
                </c:pt>
                <c:pt idx="15">
                  <c:v>122.27752217880661</c:v>
                </c:pt>
                <c:pt idx="16">
                  <c:v>139.79623175524068</c:v>
                </c:pt>
                <c:pt idx="17">
                  <c:v>124.177332461623</c:v>
                </c:pt>
                <c:pt idx="18">
                  <c:v>157.60519872151085</c:v>
                </c:pt>
                <c:pt idx="19">
                  <c:v>127.73419492038602</c:v>
                </c:pt>
                <c:pt idx="20">
                  <c:v>118.57898606073715</c:v>
                </c:pt>
                <c:pt idx="21">
                  <c:v>96.668747918213938</c:v>
                </c:pt>
                <c:pt idx="22">
                  <c:v>125.96277382505161</c:v>
                </c:pt>
                <c:pt idx="23">
                  <c:v>124.49262621306035</c:v>
                </c:pt>
                <c:pt idx="24">
                  <c:v>125.23276552539758</c:v>
                </c:pt>
                <c:pt idx="25">
                  <c:v>117.12143582383833</c:v>
                </c:pt>
                <c:pt idx="26">
                  <c:v>85.477818579595166</c:v>
                </c:pt>
                <c:pt idx="27">
                  <c:v>183.84221537744807</c:v>
                </c:pt>
                <c:pt idx="28">
                  <c:v>209.34483576362558</c:v>
                </c:pt>
                <c:pt idx="29">
                  <c:v>101.97902593453252</c:v>
                </c:pt>
                <c:pt idx="30">
                  <c:v>107.41379933283315</c:v>
                </c:pt>
                <c:pt idx="31">
                  <c:v>208.74102430792894</c:v>
                </c:pt>
                <c:pt idx="32">
                  <c:v>164.32783413141897</c:v>
                </c:pt>
                <c:pt idx="33">
                  <c:v>121.52115231059126</c:v>
                </c:pt>
                <c:pt idx="34">
                  <c:v>138.63901277668953</c:v>
                </c:pt>
                <c:pt idx="35">
                  <c:v>137.37423357622333</c:v>
                </c:pt>
                <c:pt idx="36">
                  <c:v>114.32002530257716</c:v>
                </c:pt>
                <c:pt idx="37">
                  <c:v>140.73781910911103</c:v>
                </c:pt>
                <c:pt idx="38">
                  <c:v>10.280796480250068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80-FB4A-BBB6-C72AF17B834E}"/>
            </c:ext>
          </c:extLst>
        </c:ser>
        <c:ser>
          <c:idx val="1"/>
          <c:order val="1"/>
          <c:tx>
            <c:v>Vaseyana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65776071741032371"/>
                  <c:y val="-0.249748833479148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Phenolics'!$D$74:$D$99</c:f>
              <c:numCache>
                <c:formatCode>General</c:formatCode>
                <c:ptCount val="26"/>
                <c:pt idx="0">
                  <c:v>2386.4492380067832</c:v>
                </c:pt>
                <c:pt idx="1">
                  <c:v>16805.84295637588</c:v>
                </c:pt>
                <c:pt idx="2">
                  <c:v>960.15837793844651</c:v>
                </c:pt>
                <c:pt idx="3">
                  <c:v>2874.0503003785948</c:v>
                </c:pt>
                <c:pt idx="4">
                  <c:v>42802.36940384144</c:v>
                </c:pt>
                <c:pt idx="5">
                  <c:v>12019.069406024275</c:v>
                </c:pt>
                <c:pt idx="6">
                  <c:v>14565.537236637978</c:v>
                </c:pt>
                <c:pt idx="7">
                  <c:v>864.67131542713526</c:v>
                </c:pt>
                <c:pt idx="8">
                  <c:v>43576.246245326336</c:v>
                </c:pt>
                <c:pt idx="9">
                  <c:v>11568.089030513362</c:v>
                </c:pt>
                <c:pt idx="10">
                  <c:v>988.67609728681339</c:v>
                </c:pt>
                <c:pt idx="11">
                  <c:v>49843.248999307776</c:v>
                </c:pt>
                <c:pt idx="12">
                  <c:v>1087.8039850346918</c:v>
                </c:pt>
                <c:pt idx="13">
                  <c:v>813.06319166777791</c:v>
                </c:pt>
                <c:pt idx="14">
                  <c:v>1919.781239993162</c:v>
                </c:pt>
                <c:pt idx="15">
                  <c:v>38103.780065537183</c:v>
                </c:pt>
                <c:pt idx="16">
                  <c:v>2301.1255502666809</c:v>
                </c:pt>
                <c:pt idx="17">
                  <c:v>41891.71155830002</c:v>
                </c:pt>
                <c:pt idx="18">
                  <c:v>13265.097971421466</c:v>
                </c:pt>
                <c:pt idx="19">
                  <c:v>42477.737790691754</c:v>
                </c:pt>
                <c:pt idx="20">
                  <c:v>11704.669717197508</c:v>
                </c:pt>
                <c:pt idx="21">
                  <c:v>40564.359245331922</c:v>
                </c:pt>
                <c:pt idx="22">
                  <c:v>40735.878508068461</c:v>
                </c:pt>
                <c:pt idx="23">
                  <c:v>17399.691735101911</c:v>
                </c:pt>
                <c:pt idx="24">
                  <c:v>82173.436325183065</c:v>
                </c:pt>
                <c:pt idx="25">
                  <c:v>727.76506811429533</c:v>
                </c:pt>
              </c:numCache>
            </c:numRef>
          </c:xVal>
          <c:yVal>
            <c:numRef>
              <c:f>'Total Phenolics'!$C$74:$C$99</c:f>
              <c:numCache>
                <c:formatCode>General</c:formatCode>
                <c:ptCount val="26"/>
                <c:pt idx="0">
                  <c:v>131.14653095574957</c:v>
                </c:pt>
                <c:pt idx="1">
                  <c:v>125.44853194291655</c:v>
                </c:pt>
                <c:pt idx="2">
                  <c:v>142.8379526984701</c:v>
                </c:pt>
                <c:pt idx="3">
                  <c:v>130.79874879760447</c:v>
                </c:pt>
                <c:pt idx="4">
                  <c:v>208.98267807088641</c:v>
                </c:pt>
                <c:pt idx="5">
                  <c:v>214.77920635942027</c:v>
                </c:pt>
                <c:pt idx="6">
                  <c:v>128.33037722100261</c:v>
                </c:pt>
                <c:pt idx="7">
                  <c:v>155.5783636148989</c:v>
                </c:pt>
                <c:pt idx="8">
                  <c:v>149.62139721383522</c:v>
                </c:pt>
                <c:pt idx="9">
                  <c:v>85.397668837575978</c:v>
                </c:pt>
                <c:pt idx="10">
                  <c:v>414.2070111830875</c:v>
                </c:pt>
                <c:pt idx="11">
                  <c:v>117.78434836212593</c:v>
                </c:pt>
                <c:pt idx="12">
                  <c:v>138.01500826990002</c:v>
                </c:pt>
                <c:pt idx="13">
                  <c:v>122.1407651913046</c:v>
                </c:pt>
                <c:pt idx="14">
                  <c:v>152.55587029579965</c:v>
                </c:pt>
                <c:pt idx="15">
                  <c:v>156.10147425527296</c:v>
                </c:pt>
                <c:pt idx="16">
                  <c:v>121.57490992652302</c:v>
                </c:pt>
                <c:pt idx="17">
                  <c:v>131.62065555691433</c:v>
                </c:pt>
                <c:pt idx="18">
                  <c:v>113.42654924640642</c:v>
                </c:pt>
                <c:pt idx="19">
                  <c:v>156.19145063535476</c:v>
                </c:pt>
                <c:pt idx="20">
                  <c:v>182.76386496070828</c:v>
                </c:pt>
                <c:pt idx="21">
                  <c:v>140.06975109383649</c:v>
                </c:pt>
                <c:pt idx="22">
                  <c:v>122.30834166358167</c:v>
                </c:pt>
                <c:pt idx="23">
                  <c:v>116.29144056056217</c:v>
                </c:pt>
                <c:pt idx="24">
                  <c:v>169.38942555129006</c:v>
                </c:pt>
                <c:pt idx="25">
                  <c:v>117.66262281833129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80-FB4A-BBB6-C72AF17B834E}"/>
            </c:ext>
          </c:extLst>
        </c:ser>
        <c:ser>
          <c:idx val="2"/>
          <c:order val="2"/>
          <c:tx>
            <c:v>Wyomingensis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67224606299212597"/>
                  <c:y val="-0.1659911781860600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Phenolics'!$D$123:$D$150</c:f>
              <c:numCache>
                <c:formatCode>General</c:formatCode>
                <c:ptCount val="28"/>
                <c:pt idx="0">
                  <c:v>50039.998439769202</c:v>
                </c:pt>
                <c:pt idx="1">
                  <c:v>16710.835275770762</c:v>
                </c:pt>
                <c:pt idx="2">
                  <c:v>100740.31275186824</c:v>
                </c:pt>
                <c:pt idx="3">
                  <c:v>33284.635523539029</c:v>
                </c:pt>
                <c:pt idx="4">
                  <c:v>40478.780456603155</c:v>
                </c:pt>
                <c:pt idx="5">
                  <c:v>1291.1142349168879</c:v>
                </c:pt>
                <c:pt idx="6">
                  <c:v>72775.953053364443</c:v>
                </c:pt>
                <c:pt idx="7">
                  <c:v>44511.068439302609</c:v>
                </c:pt>
                <c:pt idx="8">
                  <c:v>918.41833599602148</c:v>
                </c:pt>
                <c:pt idx="9">
                  <c:v>1942.2784488793015</c:v>
                </c:pt>
                <c:pt idx="10">
                  <c:v>1427.538535736729</c:v>
                </c:pt>
                <c:pt idx="11">
                  <c:v>65449.846949787352</c:v>
                </c:pt>
                <c:pt idx="12">
                  <c:v>15674.129689516589</c:v>
                </c:pt>
                <c:pt idx="13">
                  <c:v>2595.2056157303646</c:v>
                </c:pt>
                <c:pt idx="14">
                  <c:v>16774.133827092021</c:v>
                </c:pt>
                <c:pt idx="15">
                  <c:v>46827.827184502879</c:v>
                </c:pt>
                <c:pt idx="16">
                  <c:v>17076.985505129454</c:v>
                </c:pt>
                <c:pt idx="17">
                  <c:v>8992.0298559226921</c:v>
                </c:pt>
                <c:pt idx="18">
                  <c:v>16490.544633296511</c:v>
                </c:pt>
                <c:pt idx="19">
                  <c:v>12364.890281460235</c:v>
                </c:pt>
                <c:pt idx="20">
                  <c:v>12403.719287521526</c:v>
                </c:pt>
                <c:pt idx="21">
                  <c:v>11225.232539390583</c:v>
                </c:pt>
                <c:pt idx="22">
                  <c:v>11249.494560988222</c:v>
                </c:pt>
                <c:pt idx="23">
                  <c:v>11371.329189285862</c:v>
                </c:pt>
                <c:pt idx="24">
                  <c:v>12159.170190728093</c:v>
                </c:pt>
                <c:pt idx="25">
                  <c:v>101949.18368719057</c:v>
                </c:pt>
                <c:pt idx="26">
                  <c:v>48802.62355941155</c:v>
                </c:pt>
                <c:pt idx="27">
                  <c:v>918.41833599602148</c:v>
                </c:pt>
              </c:numCache>
            </c:numRef>
          </c:xVal>
          <c:yVal>
            <c:numRef>
              <c:f>'Total Phenolics'!$C$123:$C$150</c:f>
              <c:numCache>
                <c:formatCode>General</c:formatCode>
                <c:ptCount val="28"/>
                <c:pt idx="0">
                  <c:v>151.74980113635786</c:v>
                </c:pt>
                <c:pt idx="1">
                  <c:v>180.93243109173525</c:v>
                </c:pt>
                <c:pt idx="2">
                  <c:v>142.2141023271233</c:v>
                </c:pt>
                <c:pt idx="3">
                  <c:v>89.159250886279025</c:v>
                </c:pt>
                <c:pt idx="4">
                  <c:v>197.73130680706734</c:v>
                </c:pt>
                <c:pt idx="5">
                  <c:v>158.38216391260653</c:v>
                </c:pt>
                <c:pt idx="6">
                  <c:v>179.51072983818023</c:v>
                </c:pt>
                <c:pt idx="7">
                  <c:v>219.54803681484773</c:v>
                </c:pt>
                <c:pt idx="8">
                  <c:v>90.166310231262088</c:v>
                </c:pt>
                <c:pt idx="9">
                  <c:v>93.731470024567273</c:v>
                </c:pt>
                <c:pt idx="10">
                  <c:v>206.90846073852978</c:v>
                </c:pt>
                <c:pt idx="11">
                  <c:v>194.86358882593339</c:v>
                </c:pt>
                <c:pt idx="12">
                  <c:v>105.47168550973402</c:v>
                </c:pt>
                <c:pt idx="13">
                  <c:v>106.48255794804447</c:v>
                </c:pt>
                <c:pt idx="14">
                  <c:v>156.87241741228024</c:v>
                </c:pt>
                <c:pt idx="15">
                  <c:v>175.02847262210017</c:v>
                </c:pt>
                <c:pt idx="16">
                  <c:v>145.66329108272518</c:v>
                </c:pt>
                <c:pt idx="17">
                  <c:v>139.21536850238297</c:v>
                </c:pt>
                <c:pt idx="18">
                  <c:v>203.75415827587881</c:v>
                </c:pt>
                <c:pt idx="19">
                  <c:v>161.81403376065305</c:v>
                </c:pt>
                <c:pt idx="20">
                  <c:v>152.25947838790802</c:v>
                </c:pt>
                <c:pt idx="21">
                  <c:v>186.77827290836751</c:v>
                </c:pt>
                <c:pt idx="22">
                  <c:v>155.68058476426648</c:v>
                </c:pt>
                <c:pt idx="23">
                  <c:v>106.98402371126166</c:v>
                </c:pt>
                <c:pt idx="24">
                  <c:v>137.07156901113316</c:v>
                </c:pt>
                <c:pt idx="25">
                  <c:v>120.38958966314605</c:v>
                </c:pt>
                <c:pt idx="26">
                  <c:v>125.92225764399993</c:v>
                </c:pt>
                <c:pt idx="27">
                  <c:v>146.36152815917404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80-FB4A-BBB6-C72AF17B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77376"/>
        <c:axId val="152278912"/>
      </c:scatterChart>
      <c:valAx>
        <c:axId val="15227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278912"/>
        <c:crosses val="autoZero"/>
        <c:crossBetween val="midCat"/>
      </c:valAx>
      <c:valAx>
        <c:axId val="152278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2277376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0829177602799647"/>
          <c:y val="0.13831291921843103"/>
          <c:w val="0.26948600174978127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Low Volume Correlation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32174103237096"/>
          <c:y val="5.1400554097404488E-2"/>
          <c:w val="0.80942869641294835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v>Tridentata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14721062992125986"/>
                  <c:y val="-0.6133657771945173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Phenolics'!$D$43:$D$73</c:f>
              <c:numCache>
                <c:formatCode>General</c:formatCode>
                <c:ptCount val="31"/>
                <c:pt idx="0">
                  <c:v>17318.637401092208</c:v>
                </c:pt>
                <c:pt idx="1">
                  <c:v>42891.191447162062</c:v>
                </c:pt>
                <c:pt idx="2">
                  <c:v>36751.111716164189</c:v>
                </c:pt>
                <c:pt idx="3">
                  <c:v>2947.9931262901027</c:v>
                </c:pt>
                <c:pt idx="4">
                  <c:v>2213.7505496550416</c:v>
                </c:pt>
                <c:pt idx="5">
                  <c:v>2313.7922680627848</c:v>
                </c:pt>
                <c:pt idx="6">
                  <c:v>3320.6100544728383</c:v>
                </c:pt>
                <c:pt idx="7">
                  <c:v>34834.287537431745</c:v>
                </c:pt>
                <c:pt idx="8">
                  <c:v>11518.688005445649</c:v>
                </c:pt>
                <c:pt idx="9">
                  <c:v>2554.3250711264609</c:v>
                </c:pt>
                <c:pt idx="10">
                  <c:v>1511.9192278415653</c:v>
                </c:pt>
                <c:pt idx="11">
                  <c:v>1400.1256783963138</c:v>
                </c:pt>
                <c:pt idx="12">
                  <c:v>39014.479362299266</c:v>
                </c:pt>
                <c:pt idx="13">
                  <c:v>39685.842035202906</c:v>
                </c:pt>
                <c:pt idx="14">
                  <c:v>4315.7147367816224</c:v>
                </c:pt>
                <c:pt idx="15">
                  <c:v>15932.991281348381</c:v>
                </c:pt>
                <c:pt idx="16">
                  <c:v>817.28323443628221</c:v>
                </c:pt>
                <c:pt idx="17">
                  <c:v>3074.0308521290735</c:v>
                </c:pt>
                <c:pt idx="18">
                  <c:v>2558.845999407763</c:v>
                </c:pt>
                <c:pt idx="19">
                  <c:v>2943.0245995954801</c:v>
                </c:pt>
                <c:pt idx="20">
                  <c:v>21258.725231443725</c:v>
                </c:pt>
                <c:pt idx="21">
                  <c:v>55690.842943003066</c:v>
                </c:pt>
                <c:pt idx="22">
                  <c:v>20039.566609576123</c:v>
                </c:pt>
                <c:pt idx="23">
                  <c:v>21055.264341146594</c:v>
                </c:pt>
                <c:pt idx="24">
                  <c:v>21933.754199522762</c:v>
                </c:pt>
                <c:pt idx="25">
                  <c:v>14637.762909892937</c:v>
                </c:pt>
                <c:pt idx="26">
                  <c:v>15674.129689516589</c:v>
                </c:pt>
                <c:pt idx="27">
                  <c:v>130115.49053779407</c:v>
                </c:pt>
                <c:pt idx="28">
                  <c:v>14987.771152915811</c:v>
                </c:pt>
                <c:pt idx="29">
                  <c:v>3358.4257513428879</c:v>
                </c:pt>
                <c:pt idx="30">
                  <c:v>80719.609317541428</c:v>
                </c:pt>
              </c:numCache>
            </c:numRef>
          </c:xVal>
          <c:yVal>
            <c:numRef>
              <c:f>'Total Phenolics'!$C$43:$C$73</c:f>
              <c:numCache>
                <c:formatCode>General</c:formatCode>
                <c:ptCount val="31"/>
                <c:pt idx="0">
                  <c:v>130.8345692807718</c:v>
                </c:pt>
                <c:pt idx="1">
                  <c:v>122.37674056259128</c:v>
                </c:pt>
                <c:pt idx="2">
                  <c:v>141.44065966190294</c:v>
                </c:pt>
                <c:pt idx="3">
                  <c:v>356.82839397736274</c:v>
                </c:pt>
                <c:pt idx="4">
                  <c:v>249.81430726337632</c:v>
                </c:pt>
                <c:pt idx="5">
                  <c:v>105.48353950835173</c:v>
                </c:pt>
                <c:pt idx="6">
                  <c:v>87.445125846829797</c:v>
                </c:pt>
                <c:pt idx="7">
                  <c:v>118.64875512591297</c:v>
                </c:pt>
                <c:pt idx="8">
                  <c:v>132.29037298001734</c:v>
                </c:pt>
                <c:pt idx="9">
                  <c:v>131.12209982676288</c:v>
                </c:pt>
                <c:pt idx="10">
                  <c:v>111.22112664413842</c:v>
                </c:pt>
                <c:pt idx="11">
                  <c:v>98.078476999510642</c:v>
                </c:pt>
                <c:pt idx="12">
                  <c:v>131.14413003489005</c:v>
                </c:pt>
                <c:pt idx="13">
                  <c:v>124.38420017914186</c:v>
                </c:pt>
                <c:pt idx="14">
                  <c:v>234.23853757303496</c:v>
                </c:pt>
                <c:pt idx="15">
                  <c:v>134.12755637107179</c:v>
                </c:pt>
                <c:pt idx="16">
                  <c:v>97.45224217028246</c:v>
                </c:pt>
                <c:pt idx="17">
                  <c:v>91.193761526707988</c:v>
                </c:pt>
                <c:pt idx="18">
                  <c:v>164.15567243963955</c:v>
                </c:pt>
                <c:pt idx="19">
                  <c:v>105.84342799787042</c:v>
                </c:pt>
                <c:pt idx="20">
                  <c:v>159.79638714605164</c:v>
                </c:pt>
                <c:pt idx="21">
                  <c:v>140.31305883076038</c:v>
                </c:pt>
                <c:pt idx="22">
                  <c:v>111.37165529120355</c:v>
                </c:pt>
                <c:pt idx="23">
                  <c:v>176.25009966636063</c:v>
                </c:pt>
                <c:pt idx="24">
                  <c:v>109.08668716495183</c:v>
                </c:pt>
                <c:pt idx="25">
                  <c:v>122.78798598519781</c:v>
                </c:pt>
                <c:pt idx="26">
                  <c:v>204.01419104514756</c:v>
                </c:pt>
                <c:pt idx="27">
                  <c:v>106.40251810931396</c:v>
                </c:pt>
                <c:pt idx="28">
                  <c:v>113.41924298929997</c:v>
                </c:pt>
                <c:pt idx="29">
                  <c:v>131.73516885847158</c:v>
                </c:pt>
                <c:pt idx="30">
                  <c:v>112.9683280938734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2B-E949-A5B2-2CE17A0FB3DD}"/>
            </c:ext>
          </c:extLst>
        </c:ser>
        <c:ser>
          <c:idx val="1"/>
          <c:order val="1"/>
          <c:tx>
            <c:v>Vaseyana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3528237095363078"/>
                  <c:y val="-0.5170326625838437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Phenolics'!$D$100:$D$122</c:f>
              <c:numCache>
                <c:formatCode>General</c:formatCode>
                <c:ptCount val="23"/>
                <c:pt idx="0">
                  <c:v>228.94119744029166</c:v>
                </c:pt>
                <c:pt idx="1">
                  <c:v>2923.20631891844</c:v>
                </c:pt>
                <c:pt idx="2">
                  <c:v>909.31012166618837</c:v>
                </c:pt>
                <c:pt idx="3">
                  <c:v>15002.47465528823</c:v>
                </c:pt>
                <c:pt idx="4">
                  <c:v>27391.349473509777</c:v>
                </c:pt>
                <c:pt idx="5">
                  <c:v>3412.9445942061184</c:v>
                </c:pt>
                <c:pt idx="6">
                  <c:v>18782.377985001189</c:v>
                </c:pt>
                <c:pt idx="7">
                  <c:v>4328.5463876684407</c:v>
                </c:pt>
                <c:pt idx="8">
                  <c:v>68641.973168407683</c:v>
                </c:pt>
                <c:pt idx="9">
                  <c:v>9854.7028210180397</c:v>
                </c:pt>
                <c:pt idx="10">
                  <c:v>2673.6100414695106</c:v>
                </c:pt>
                <c:pt idx="11">
                  <c:v>46765.027245823665</c:v>
                </c:pt>
                <c:pt idx="12">
                  <c:v>2854.543238436192</c:v>
                </c:pt>
                <c:pt idx="13">
                  <c:v>3115.1086756616542</c:v>
                </c:pt>
                <c:pt idx="14">
                  <c:v>18274.468972377403</c:v>
                </c:pt>
                <c:pt idx="15">
                  <c:v>810.95862880076152</c:v>
                </c:pt>
                <c:pt idx="16">
                  <c:v>19126.159243715065</c:v>
                </c:pt>
                <c:pt idx="17">
                  <c:v>15002.47465528823</c:v>
                </c:pt>
                <c:pt idx="18">
                  <c:v>15841.305495682434</c:v>
                </c:pt>
                <c:pt idx="19">
                  <c:v>42213.354291614996</c:v>
                </c:pt>
                <c:pt idx="20">
                  <c:v>9525.0193755613454</c:v>
                </c:pt>
                <c:pt idx="21">
                  <c:v>8539.7738513755612</c:v>
                </c:pt>
                <c:pt idx="22">
                  <c:v>51031.515429027189</c:v>
                </c:pt>
              </c:numCache>
            </c:numRef>
          </c:xVal>
          <c:yVal>
            <c:numRef>
              <c:f>'Total Phenolics'!$C$100:$C$122</c:f>
              <c:numCache>
                <c:formatCode>General</c:formatCode>
                <c:ptCount val="23"/>
                <c:pt idx="0">
                  <c:v>105.36344796894694</c:v>
                </c:pt>
                <c:pt idx="1">
                  <c:v>112.00320320612495</c:v>
                </c:pt>
                <c:pt idx="2">
                  <c:v>111.28406582071685</c:v>
                </c:pt>
                <c:pt idx="3">
                  <c:v>215.83526961883828</c:v>
                </c:pt>
                <c:pt idx="4">
                  <c:v>140.97247771143591</c:v>
                </c:pt>
                <c:pt idx="5">
                  <c:v>180.46883233700856</c:v>
                </c:pt>
                <c:pt idx="6">
                  <c:v>76.611798097013505</c:v>
                </c:pt>
                <c:pt idx="7">
                  <c:v>149.9775944193558</c:v>
                </c:pt>
                <c:pt idx="8">
                  <c:v>133.91716217084652</c:v>
                </c:pt>
                <c:pt idx="9">
                  <c:v>149.28689333854987</c:v>
                </c:pt>
                <c:pt idx="10">
                  <c:v>117.83293801611948</c:v>
                </c:pt>
                <c:pt idx="11">
                  <c:v>122.28358497033543</c:v>
                </c:pt>
                <c:pt idx="12">
                  <c:v>108.17703393395827</c:v>
                </c:pt>
                <c:pt idx="13">
                  <c:v>125.89575467171464</c:v>
                </c:pt>
                <c:pt idx="14">
                  <c:v>117.39834135787679</c:v>
                </c:pt>
                <c:pt idx="15">
                  <c:v>89.818100186257041</c:v>
                </c:pt>
                <c:pt idx="16">
                  <c:v>112.42724277459061</c:v>
                </c:pt>
                <c:pt idx="17">
                  <c:v>89.603658071567565</c:v>
                </c:pt>
                <c:pt idx="18">
                  <c:v>87.058051347048902</c:v>
                </c:pt>
                <c:pt idx="19">
                  <c:v>119.81190438106582</c:v>
                </c:pt>
                <c:pt idx="20">
                  <c:v>148.84132986604754</c:v>
                </c:pt>
                <c:pt idx="21">
                  <c:v>177.89471342465592</c:v>
                </c:pt>
                <c:pt idx="22">
                  <c:v>147.5450114751398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2B-E949-A5B2-2CE17A0FB3DD}"/>
            </c:ext>
          </c:extLst>
        </c:ser>
        <c:ser>
          <c:idx val="2"/>
          <c:order val="2"/>
          <c:tx>
            <c:v>Wyomingensis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6705161854768154"/>
                  <c:y val="-0.5048643919510060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Phenolics'!$D$151:$D$174</c:f>
              <c:numCache>
                <c:formatCode>General</c:formatCode>
                <c:ptCount val="24"/>
                <c:pt idx="0">
                  <c:v>1196.0682090790413</c:v>
                </c:pt>
                <c:pt idx="1">
                  <c:v>2412.4514841174214</c:v>
                </c:pt>
                <c:pt idx="2">
                  <c:v>3299.1290858838852</c:v>
                </c:pt>
                <c:pt idx="3">
                  <c:v>2659.660799888507</c:v>
                </c:pt>
                <c:pt idx="4">
                  <c:v>51935.003432330806</c:v>
                </c:pt>
                <c:pt idx="5">
                  <c:v>1319.9971633640373</c:v>
                </c:pt>
                <c:pt idx="6">
                  <c:v>14594.398926871592</c:v>
                </c:pt>
                <c:pt idx="7">
                  <c:v>2144.6605848506319</c:v>
                </c:pt>
                <c:pt idx="8">
                  <c:v>43936.544121634783</c:v>
                </c:pt>
                <c:pt idx="9">
                  <c:v>3003.016478041171</c:v>
                </c:pt>
                <c:pt idx="10">
                  <c:v>7957.4999042625359</c:v>
                </c:pt>
                <c:pt idx="11">
                  <c:v>32935.58602443181</c:v>
                </c:pt>
                <c:pt idx="12">
                  <c:v>14797.49900054007</c:v>
                </c:pt>
                <c:pt idx="13">
                  <c:v>2438.6419241943795</c:v>
                </c:pt>
                <c:pt idx="14">
                  <c:v>773.6950076729172</c:v>
                </c:pt>
                <c:pt idx="15">
                  <c:v>86923.818131191219</c:v>
                </c:pt>
                <c:pt idx="16">
                  <c:v>32985.300108160242</c:v>
                </c:pt>
                <c:pt idx="17">
                  <c:v>4354.2859421789681</c:v>
                </c:pt>
                <c:pt idx="18">
                  <c:v>1725.0727540487001</c:v>
                </c:pt>
                <c:pt idx="19">
                  <c:v>902.51862195526905</c:v>
                </c:pt>
                <c:pt idx="20">
                  <c:v>21914.813134766817</c:v>
                </c:pt>
                <c:pt idx="21">
                  <c:v>1098.0662194435238</c:v>
                </c:pt>
                <c:pt idx="22">
                  <c:v>2482.7127095377132</c:v>
                </c:pt>
                <c:pt idx="23">
                  <c:v>3648.3687241268949</c:v>
                </c:pt>
              </c:numCache>
            </c:numRef>
          </c:xVal>
          <c:yVal>
            <c:numRef>
              <c:f>'Total Phenolics'!$C$151:$C$174</c:f>
              <c:numCache>
                <c:formatCode>General</c:formatCode>
                <c:ptCount val="24"/>
                <c:pt idx="0">
                  <c:v>125.56401318314101</c:v>
                </c:pt>
                <c:pt idx="1">
                  <c:v>173.78959703126228</c:v>
                </c:pt>
                <c:pt idx="2">
                  <c:v>220.43499461847173</c:v>
                </c:pt>
                <c:pt idx="3">
                  <c:v>144.0745136181209</c:v>
                </c:pt>
                <c:pt idx="4">
                  <c:v>145.30745035415208</c:v>
                </c:pt>
                <c:pt idx="5">
                  <c:v>529.96878750632402</c:v>
                </c:pt>
                <c:pt idx="6">
                  <c:v>141.4114762101008</c:v>
                </c:pt>
                <c:pt idx="7">
                  <c:v>108.76246972916165</c:v>
                </c:pt>
                <c:pt idx="8">
                  <c:v>185.28210309032761</c:v>
                </c:pt>
                <c:pt idx="9">
                  <c:v>134.55588983418178</c:v>
                </c:pt>
                <c:pt idx="10">
                  <c:v>117.90044198713593</c:v>
                </c:pt>
                <c:pt idx="11">
                  <c:v>139.31794930089634</c:v>
                </c:pt>
                <c:pt idx="12">
                  <c:v>93.560506138290009</c:v>
                </c:pt>
                <c:pt idx="13">
                  <c:v>262.28279510486243</c:v>
                </c:pt>
                <c:pt idx="14">
                  <c:v>95.890438067553006</c:v>
                </c:pt>
                <c:pt idx="15">
                  <c:v>176.56112519162514</c:v>
                </c:pt>
                <c:pt idx="16">
                  <c:v>167.94496597519384</c:v>
                </c:pt>
                <c:pt idx="17">
                  <c:v>128.24312518436676</c:v>
                </c:pt>
                <c:pt idx="18">
                  <c:v>126.93964465609409</c:v>
                </c:pt>
                <c:pt idx="19">
                  <c:v>156.46081069896536</c:v>
                </c:pt>
                <c:pt idx="20">
                  <c:v>133.35321435671793</c:v>
                </c:pt>
                <c:pt idx="21">
                  <c:v>154.16456457795823</c:v>
                </c:pt>
                <c:pt idx="22">
                  <c:v>149.42951190590591</c:v>
                </c:pt>
                <c:pt idx="23">
                  <c:v>89.094331699928517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2B-E949-A5B2-2CE17A0FB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0240"/>
        <c:axId val="152331776"/>
      </c:scatterChart>
      <c:valAx>
        <c:axId val="15233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331776"/>
        <c:crosses val="autoZero"/>
        <c:crossBetween val="midCat"/>
      </c:valAx>
      <c:valAx>
        <c:axId val="152331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2330240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42504374453193"/>
          <c:y val="0.26331291921843103"/>
          <c:w val="0.21186067366579178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'#Peaks&lt;28min'!$N$4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'#Peaks&lt;28min'!$O$7:$Q$7</c:f>
                <c:numCache>
                  <c:formatCode>General</c:formatCode>
                  <c:ptCount val="3"/>
                  <c:pt idx="0">
                    <c:v>1.2707760600797433</c:v>
                  </c:pt>
                  <c:pt idx="1">
                    <c:v>1.3974791038884982</c:v>
                  </c:pt>
                  <c:pt idx="2">
                    <c:v>1.3474288672900885</c:v>
                  </c:pt>
                </c:numCache>
              </c:numRef>
            </c:plus>
            <c:minus>
              <c:numRef>
                <c:f>'#Peaks&lt;28min'!$O$7:$Q$7</c:f>
                <c:numCache>
                  <c:formatCode>General</c:formatCode>
                  <c:ptCount val="3"/>
                  <c:pt idx="0">
                    <c:v>1.2707760600797433</c:v>
                  </c:pt>
                  <c:pt idx="1">
                    <c:v>1.3974791038884982</c:v>
                  </c:pt>
                  <c:pt idx="2">
                    <c:v>1.3474288672900885</c:v>
                  </c:pt>
                </c:numCache>
              </c:numRef>
            </c:minus>
          </c:errBars>
          <c:cat>
            <c:strRef>
              <c:f>'#Peaks&lt;28min'!$O$3:$Q$3</c:f>
              <c:strCache>
                <c:ptCount val="3"/>
                <c:pt idx="0">
                  <c:v>Vaseyana</c:v>
                </c:pt>
                <c:pt idx="1">
                  <c:v>Wyomingensis</c:v>
                </c:pt>
                <c:pt idx="2">
                  <c:v>Tridentata</c:v>
                </c:pt>
              </c:strCache>
            </c:strRef>
          </c:cat>
          <c:val>
            <c:numRef>
              <c:f>'#Peaks&lt;28min'!$O$4:$Q$4</c:f>
              <c:numCache>
                <c:formatCode>General</c:formatCode>
                <c:ptCount val="3"/>
                <c:pt idx="0">
                  <c:v>71.807692307692307</c:v>
                </c:pt>
                <c:pt idx="1">
                  <c:v>69.357142857142861</c:v>
                </c:pt>
                <c:pt idx="2">
                  <c:v>68.333333333333329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6-7845-B1EB-CA584BF8FB92}"/>
            </c:ext>
          </c:extLst>
        </c:ser>
        <c:ser>
          <c:idx val="1"/>
          <c:order val="1"/>
          <c:tx>
            <c:strRef>
              <c:f>'#Peaks&lt;28min'!$N$5</c:f>
              <c:strCache>
                <c:ptCount val="1"/>
                <c:pt idx="0">
                  <c:v>Low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'#Peaks&lt;28min'!$O$8:$Q$8</c:f>
                <c:numCache>
                  <c:formatCode>General</c:formatCode>
                  <c:ptCount val="3"/>
                  <c:pt idx="0">
                    <c:v>1.8366436808240876</c:v>
                  </c:pt>
                  <c:pt idx="1">
                    <c:v>1.5649196241186583</c:v>
                  </c:pt>
                  <c:pt idx="2">
                    <c:v>0.96061894719319152</c:v>
                  </c:pt>
                </c:numCache>
              </c:numRef>
            </c:plus>
            <c:minus>
              <c:numRef>
                <c:f>'#Peaks&lt;28min'!$O$8:$Q$8</c:f>
                <c:numCache>
                  <c:formatCode>General</c:formatCode>
                  <c:ptCount val="3"/>
                  <c:pt idx="0">
                    <c:v>1.8366436808240876</c:v>
                  </c:pt>
                  <c:pt idx="1">
                    <c:v>1.5649196241186583</c:v>
                  </c:pt>
                  <c:pt idx="2">
                    <c:v>0.96061894719319152</c:v>
                  </c:pt>
                </c:numCache>
              </c:numRef>
            </c:minus>
          </c:errBars>
          <c:cat>
            <c:strRef>
              <c:f>'#Peaks&lt;28min'!$O$3:$Q$3</c:f>
              <c:strCache>
                <c:ptCount val="3"/>
                <c:pt idx="0">
                  <c:v>Vaseyana</c:v>
                </c:pt>
                <c:pt idx="1">
                  <c:v>Wyomingensis</c:v>
                </c:pt>
                <c:pt idx="2">
                  <c:v>Tridentata</c:v>
                </c:pt>
              </c:strCache>
            </c:strRef>
          </c:cat>
          <c:val>
            <c:numRef>
              <c:f>'#Peaks&lt;28min'!$O$5:$Q$5</c:f>
              <c:numCache>
                <c:formatCode>General</c:formatCode>
                <c:ptCount val="3"/>
                <c:pt idx="0">
                  <c:v>66.304347826086953</c:v>
                </c:pt>
                <c:pt idx="1">
                  <c:v>68.916666666666671</c:v>
                </c:pt>
                <c:pt idx="2">
                  <c:v>70.161290322580641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6-7845-B1EB-CA584BF8F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552"/>
        <c:axId val="156793088"/>
      </c:barChart>
      <c:catAx>
        <c:axId val="156791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793088"/>
        <c:crosses val="autoZero"/>
        <c:auto val="1"/>
        <c:lblAlgn val="ctr"/>
        <c:lblOffset val="100"/>
        <c:noMultiLvlLbl val="0"/>
      </c:catAx>
      <c:valAx>
        <c:axId val="156793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compounds &lt;28min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79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'% N'!$P$122:$U$122</c:f>
                <c:numCache>
                  <c:formatCode>General</c:formatCode>
                  <c:ptCount val="6"/>
                  <c:pt idx="0">
                    <c:v>0.12042659999999999</c:v>
                  </c:pt>
                  <c:pt idx="1">
                    <c:v>7.4500700000000003E-2</c:v>
                  </c:pt>
                  <c:pt idx="2">
                    <c:v>0.10679039999999999</c:v>
                  </c:pt>
                  <c:pt idx="3">
                    <c:v>0.12669710000000001</c:v>
                  </c:pt>
                  <c:pt idx="4">
                    <c:v>8.2203200000000004E-2</c:v>
                  </c:pt>
                  <c:pt idx="5">
                    <c:v>0.1010153</c:v>
                  </c:pt>
                </c:numCache>
              </c:numRef>
            </c:plus>
            <c:minus>
              <c:numRef>
                <c:f>'% N'!$P$122:$U$122</c:f>
                <c:numCache>
                  <c:formatCode>General</c:formatCode>
                  <c:ptCount val="6"/>
                  <c:pt idx="0">
                    <c:v>0.12042659999999999</c:v>
                  </c:pt>
                  <c:pt idx="1">
                    <c:v>7.4500700000000003E-2</c:v>
                  </c:pt>
                  <c:pt idx="2">
                    <c:v>0.10679039999999999</c:v>
                  </c:pt>
                  <c:pt idx="3">
                    <c:v>0.12669710000000001</c:v>
                  </c:pt>
                  <c:pt idx="4">
                    <c:v>8.2203200000000004E-2</c:v>
                  </c:pt>
                  <c:pt idx="5">
                    <c:v>0.1010153</c:v>
                  </c:pt>
                </c:numCache>
              </c:numRef>
            </c:minus>
          </c:errBars>
          <c:cat>
            <c:strRef>
              <c:f>'% N'!$P$120:$U$120</c:f>
              <c:strCache>
                <c:ptCount val="6"/>
                <c:pt idx="0">
                  <c:v>TriLow</c:v>
                </c:pt>
                <c:pt idx="1">
                  <c:v>TriHigh</c:v>
                </c:pt>
                <c:pt idx="2">
                  <c:v>VasLow</c:v>
                </c:pt>
                <c:pt idx="3">
                  <c:v>VasHigh</c:v>
                </c:pt>
                <c:pt idx="4">
                  <c:v>WyoLow</c:v>
                </c:pt>
                <c:pt idx="5">
                  <c:v>WyoHigh</c:v>
                </c:pt>
              </c:strCache>
            </c:strRef>
          </c:cat>
          <c:val>
            <c:numRef>
              <c:f>'% N'!$P$121:$U$121</c:f>
              <c:numCache>
                <c:formatCode>General</c:formatCode>
                <c:ptCount val="6"/>
                <c:pt idx="0">
                  <c:v>3.4925000000000002</c:v>
                </c:pt>
                <c:pt idx="1">
                  <c:v>3.4332050999999999</c:v>
                </c:pt>
                <c:pt idx="2">
                  <c:v>3.1706522000000001</c:v>
                </c:pt>
                <c:pt idx="3">
                  <c:v>2.8690384999999998</c:v>
                </c:pt>
                <c:pt idx="4">
                  <c:v>3.4412500000000001</c:v>
                </c:pt>
                <c:pt idx="5">
                  <c:v>3.3646429000000002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9-F84C-AE38-31ABF65C9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15200"/>
        <c:axId val="160516736"/>
      </c:barChart>
      <c:catAx>
        <c:axId val="160515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0516736"/>
        <c:crosses val="autoZero"/>
        <c:auto val="1"/>
        <c:lblAlgn val="ctr"/>
        <c:lblOffset val="100"/>
        <c:noMultiLvlLbl val="0"/>
      </c:catAx>
      <c:valAx>
        <c:axId val="16051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51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4.png"/><Relationship Id="rId7" Type="http://schemas.openxmlformats.org/officeDocument/2006/relationships/chart" Target="../charts/chart4.xml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3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9</xdr:row>
      <xdr:rowOff>19050</xdr:rowOff>
    </xdr:from>
    <xdr:to>
      <xdr:col>14</xdr:col>
      <xdr:colOff>571500</xdr:colOff>
      <xdr:row>29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725" y="1752600"/>
          <a:ext cx="935355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for Growth Tradeoff Study:</a:t>
          </a:r>
        </a:p>
        <a:p>
          <a:endParaRPr lang="en-US" sz="1100"/>
        </a:p>
        <a:p>
          <a:r>
            <a:rPr lang="en-US" sz="1100" b="0"/>
            <a:t>Plant ID,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Subspecies,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Ploidy,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Provenance,</a:t>
          </a:r>
          <a:r>
            <a:rPr lang="en-US" b="0"/>
            <a:t> and Volume obtained from  Lisa Lam&gt;EPSCoR&gt;Original</a:t>
          </a:r>
          <a:r>
            <a:rPr lang="en-US" b="0" baseline="0"/>
            <a:t> Data&gt;MASTER spreadsheet worksheet "raw data". </a:t>
          </a:r>
        </a:p>
        <a:p>
          <a:endParaRPr lang="en-US" b="0" baseline="0"/>
        </a:p>
        <a:p>
          <a:r>
            <a:rPr lang="en-US" b="0" baseline="0"/>
            <a:t>% Nitrogen and % Carbon obtained from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Lisa Lam&gt;EPSCoR&gt;Original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Data&gt;Orchard 2011 Cumulative CN data sheet (complete). 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Area Under the Peak obtained from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Lisa Lam&gt;EPSCoR&gt;Growth Tradeoff Study&gt;Chromatograms&gt;Orchard Site.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Phenolics obtained from Lisa Lam&gt;EPSCoR&gt;Growth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Tradeoff Study&gt;Total Phenolics Data.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123823</xdr:colOff>
      <xdr:row>176</xdr:row>
      <xdr:rowOff>9525</xdr:rowOff>
    </xdr:from>
    <xdr:to>
      <xdr:col>15</xdr:col>
      <xdr:colOff>600075</xdr:colOff>
      <xdr:row>178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3823" y="34109025"/>
          <a:ext cx="10887077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 "56" was labeled as "95" in the dropbox--but there is no sample 95 and sample 56 was only one with a chromatogram missing.</a:t>
          </a:r>
          <a:r>
            <a:rPr lang="en-US"/>
            <a:t>  - FIXED: Used chromatogram labeled 95 for sample 56</a:t>
          </a:r>
          <a:endParaRPr lang="en-US" sz="1100"/>
        </a:p>
      </xdr:txBody>
    </xdr:sp>
    <xdr:clientData/>
  </xdr:twoCellAnchor>
  <xdr:twoCellAnchor>
    <xdr:from>
      <xdr:col>0</xdr:col>
      <xdr:colOff>142875</xdr:colOff>
      <xdr:row>179</xdr:row>
      <xdr:rowOff>9524</xdr:rowOff>
    </xdr:from>
    <xdr:to>
      <xdr:col>15</xdr:col>
      <xdr:colOff>695325</xdr:colOff>
      <xdr:row>182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42875" y="34680524"/>
          <a:ext cx="10963275" cy="628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AUC=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1.72E+04</a:t>
          </a:r>
          <a:r>
            <a:rPr lang="en-US"/>
            <a:t>  and number peaks=</a:t>
          </a:r>
          <a:r>
            <a:rPr lang="en-US" baseline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/>
            <a:t> was labeled under vial 257, but this is incorrect because there is only one</a:t>
          </a:r>
          <a:r>
            <a:rPr lang="en-US" baseline="0"/>
            <a:t> 257 sample in the dropbox--and this is not it</a:t>
          </a:r>
          <a:r>
            <a:rPr lang="en-US"/>
            <a:t>. Unsure what sample this goes to. Maybe 56? - FIXED: Used chromatogram for 257 in dropbox folder for sample 257, discarded previously entered data for 257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266700</xdr:colOff>
      <xdr:row>52</xdr:row>
      <xdr:rowOff>147637</xdr:rowOff>
    </xdr:from>
    <xdr:to>
      <xdr:col>35</xdr:col>
      <xdr:colOff>571500</xdr:colOff>
      <xdr:row>67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257175</xdr:colOff>
      <xdr:row>70</xdr:row>
      <xdr:rowOff>61912</xdr:rowOff>
    </xdr:from>
    <xdr:to>
      <xdr:col>35</xdr:col>
      <xdr:colOff>561975</xdr:colOff>
      <xdr:row>84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0</xdr:row>
      <xdr:rowOff>209549</xdr:rowOff>
    </xdr:from>
    <xdr:to>
      <xdr:col>10</xdr:col>
      <xdr:colOff>504825</xdr:colOff>
      <xdr:row>0</xdr:row>
      <xdr:rowOff>2743200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7150" y="209549"/>
          <a:ext cx="6391275" cy="2533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Removed outliers from original dataset from high and low groups within each subspecies using JMP.</a:t>
          </a:r>
        </a:p>
        <a:p>
          <a:endParaRPr lang="en-US" sz="1100"/>
        </a:p>
        <a:p>
          <a:r>
            <a:rPr lang="en-US" sz="1100"/>
            <a:t>All normalized except for Tridentata High Volume. Wilcoxon test. Wyomingensis high</a:t>
          </a:r>
          <a:r>
            <a:rPr lang="en-US" sz="1100" baseline="0"/>
            <a:t> significantly more total phenolics than low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Prob&gt;ChiSq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0.0037</a:t>
          </a:r>
          <a:r>
            <a:rPr lang="en-US"/>
            <a:t> </a:t>
          </a:r>
          <a:endParaRPr lang="en-US" sz="1100"/>
        </a:p>
        <a:p>
          <a:endParaRPr lang="en-US" sz="1100"/>
        </a:p>
        <a:p>
          <a:endParaRPr lang="en-US" sz="1100" baseline="0"/>
        </a:p>
        <a:p>
          <a:r>
            <a:rPr lang="en-US" sz="1100" baseline="0"/>
            <a:t>Data with outliers removed from high and Low groups within subspecies combined into groups by subspecies. Outliers removed from subspecies in JMP.</a:t>
          </a:r>
        </a:p>
        <a:p>
          <a:endParaRPr lang="en-US" sz="1100" baseline="0"/>
        </a:p>
        <a:p>
          <a:r>
            <a:rPr lang="en-US" sz="1100" baseline="0"/>
            <a:t>Tridentata not normal, performed wilcoxon nonparametric test.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0.0135*	</a:t>
          </a:r>
        </a:p>
        <a:p>
          <a:r>
            <a:rPr lang="en-US" sz="1100"/>
            <a:t>Tridentata has</a:t>
          </a:r>
          <a:r>
            <a:rPr lang="en-US" sz="1100" baseline="0"/>
            <a:t> higher phenolics than wyomingensis, no difference between vaseyana and other two subspecies.</a:t>
          </a:r>
          <a:endParaRPr lang="en-US" sz="1100"/>
        </a:p>
      </xdr:txBody>
    </xdr:sp>
    <xdr:clientData/>
  </xdr:twoCellAnchor>
  <xdr:twoCellAnchor editAs="oneCell">
    <xdr:from>
      <xdr:col>29</xdr:col>
      <xdr:colOff>609599</xdr:colOff>
      <xdr:row>5</xdr:row>
      <xdr:rowOff>57150</xdr:rowOff>
    </xdr:from>
    <xdr:to>
      <xdr:col>39</xdr:col>
      <xdr:colOff>9525</xdr:colOff>
      <xdr:row>24</xdr:row>
      <xdr:rowOff>151410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45199" y="4800600"/>
          <a:ext cx="5562601" cy="371376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50</xdr:col>
      <xdr:colOff>88076</xdr:colOff>
      <xdr:row>24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27075" y="5124450"/>
          <a:ext cx="4964876" cy="3314700"/>
        </a:xfrm>
        <a:prstGeom prst="rect">
          <a:avLst/>
        </a:prstGeom>
      </xdr:spPr>
    </xdr:pic>
    <xdr:clientData/>
  </xdr:twoCellAnchor>
  <xdr:twoCellAnchor editAs="oneCell">
    <xdr:from>
      <xdr:col>36</xdr:col>
      <xdr:colOff>95251</xdr:colOff>
      <xdr:row>193</xdr:row>
      <xdr:rowOff>19050</xdr:rowOff>
    </xdr:from>
    <xdr:to>
      <xdr:col>44</xdr:col>
      <xdr:colOff>476251</xdr:colOff>
      <xdr:row>215</xdr:row>
      <xdr:rowOff>133951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6046"/>
        <a:stretch/>
      </xdr:blipFill>
      <xdr:spPr>
        <a:xfrm>
          <a:off x="22564726" y="40576500"/>
          <a:ext cx="5257800" cy="4305901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166</xdr:row>
      <xdr:rowOff>104775</xdr:rowOff>
    </xdr:from>
    <xdr:to>
      <xdr:col>45</xdr:col>
      <xdr:colOff>142875</xdr:colOff>
      <xdr:row>189</xdr:row>
      <xdr:rowOff>162545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35235"/>
        <a:stretch/>
      </xdr:blipFill>
      <xdr:spPr>
        <a:xfrm>
          <a:off x="22774275" y="35518725"/>
          <a:ext cx="5324475" cy="4439270"/>
        </a:xfrm>
        <a:prstGeom prst="rect">
          <a:avLst/>
        </a:prstGeom>
      </xdr:spPr>
    </xdr:pic>
    <xdr:clientData/>
  </xdr:twoCellAnchor>
  <xdr:twoCellAnchor editAs="oneCell">
    <xdr:from>
      <xdr:col>46</xdr:col>
      <xdr:colOff>352425</xdr:colOff>
      <xdr:row>114</xdr:row>
      <xdr:rowOff>66675</xdr:rowOff>
    </xdr:from>
    <xdr:to>
      <xdr:col>53</xdr:col>
      <xdr:colOff>324442</xdr:colOff>
      <xdr:row>126</xdr:row>
      <xdr:rowOff>95573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17900" y="25574625"/>
          <a:ext cx="4239217" cy="2314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28574</xdr:rowOff>
    </xdr:from>
    <xdr:to>
      <xdr:col>11</xdr:col>
      <xdr:colOff>104775</xdr:colOff>
      <xdr:row>0</xdr:row>
      <xdr:rowOff>2085975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5725" y="28574"/>
          <a:ext cx="6305550" cy="2057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 within subspecies using JUMP</a:t>
          </a:r>
        </a:p>
        <a:p>
          <a:endParaRPr lang="en-US" sz="1100"/>
        </a:p>
        <a:p>
          <a:r>
            <a:rPr lang="en-US" sz="1100"/>
            <a:t>Tridentata Low</a:t>
          </a:r>
          <a:r>
            <a:rPr lang="en-US" sz="1100" baseline="0"/>
            <a:t> </a:t>
          </a:r>
          <a:r>
            <a:rPr lang="en-US" sz="1100"/>
            <a:t>and Wyoming High not normal. Used nonparametric</a:t>
          </a:r>
          <a:r>
            <a:rPr lang="en-US" sz="1100" baseline="0"/>
            <a:t> wilcoxon test to compare H/L within subspecies. No sig dif.</a:t>
          </a:r>
        </a:p>
        <a:p>
          <a:endParaRPr lang="en-US" sz="1100" baseline="0"/>
        </a:p>
        <a:p>
          <a:r>
            <a:rPr lang="en-US" sz="1100" baseline="0"/>
            <a:t>Combined H/L to make groups by subspecies. One outlier in Vaseyana not removed as it was not "off" enough. </a:t>
          </a:r>
        </a:p>
        <a:p>
          <a:endParaRPr lang="en-US" sz="1100" baseline="0"/>
        </a:p>
        <a:p>
          <a:r>
            <a:rPr lang="en-US" sz="1100" baseline="0"/>
            <a:t>Tridentata not normal. Nonparametric wilcoxon test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0.0594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Wyomingensis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has more AUC/mg DW than vaseyana. Tridentata not sig dif from other two subspecies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en-US" sz="1100"/>
        </a:p>
      </xdr:txBody>
    </xdr:sp>
    <xdr:clientData/>
  </xdr:twoCellAnchor>
  <xdr:twoCellAnchor editAs="oneCell">
    <xdr:from>
      <xdr:col>28</xdr:col>
      <xdr:colOff>0</xdr:colOff>
      <xdr:row>191</xdr:row>
      <xdr:rowOff>0</xdr:rowOff>
    </xdr:from>
    <xdr:to>
      <xdr:col>34</xdr:col>
      <xdr:colOff>486354</xdr:colOff>
      <xdr:row>203</xdr:row>
      <xdr:rowOff>28898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225" y="36766500"/>
          <a:ext cx="4143954" cy="2314898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</xdr:colOff>
      <xdr:row>2</xdr:row>
      <xdr:rowOff>723900</xdr:rowOff>
    </xdr:from>
    <xdr:to>
      <xdr:col>37</xdr:col>
      <xdr:colOff>486690</xdr:colOff>
      <xdr:row>26</xdr:row>
      <xdr:rowOff>19670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0" y="3190875"/>
          <a:ext cx="6554115" cy="443927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37</xdr:col>
      <xdr:colOff>458115</xdr:colOff>
      <xdr:row>53</xdr:row>
      <xdr:rowOff>114901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11625" y="8562975"/>
          <a:ext cx="6554115" cy="4305901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53</xdr:col>
      <xdr:colOff>514350</xdr:colOff>
      <xdr:row>21</xdr:row>
      <xdr:rowOff>123190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22825" y="3609975"/>
          <a:ext cx="4324350" cy="3171190"/>
        </a:xfrm>
        <a:prstGeom prst="rect">
          <a:avLst/>
        </a:prstGeom>
      </xdr:spPr>
    </xdr:pic>
    <xdr:clientData/>
  </xdr:twoCellAnchor>
  <xdr:twoCellAnchor editAs="oneCell">
    <xdr:from>
      <xdr:col>54</xdr:col>
      <xdr:colOff>609599</xdr:colOff>
      <xdr:row>4</xdr:row>
      <xdr:rowOff>190499</xdr:rowOff>
    </xdr:from>
    <xdr:to>
      <xdr:col>62</xdr:col>
      <xdr:colOff>581024</xdr:colOff>
      <xdr:row>23</xdr:row>
      <xdr:rowOff>126364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52024" y="3609974"/>
          <a:ext cx="4848225" cy="3555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9</xdr:row>
      <xdr:rowOff>109537</xdr:rowOff>
    </xdr:from>
    <xdr:to>
      <xdr:col>20</xdr:col>
      <xdr:colOff>571500</xdr:colOff>
      <xdr:row>23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295276</xdr:colOff>
      <xdr:row>0</xdr:row>
      <xdr:rowOff>285750</xdr:rowOff>
    </xdr:from>
    <xdr:to>
      <xdr:col>10</xdr:col>
      <xdr:colOff>9525</xdr:colOff>
      <xdr:row>0</xdr:row>
      <xdr:rowOff>2571750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95276" y="285750"/>
          <a:ext cx="5200649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</a:t>
          </a:r>
          <a:r>
            <a:rPr lang="en-US" sz="1100" baseline="0"/>
            <a:t> within subspecies in JUMP</a:t>
          </a:r>
        </a:p>
        <a:p>
          <a:endParaRPr lang="en-US" sz="1100" baseline="0"/>
        </a:p>
        <a:p>
          <a:r>
            <a:rPr lang="en-US" sz="1100" baseline="0"/>
            <a:t>All data follows normal distribution.</a:t>
          </a:r>
        </a:p>
        <a:p>
          <a:endParaRPr lang="en-US" sz="1100" baseline="0"/>
        </a:p>
        <a:p>
          <a:r>
            <a:rPr lang="en-US" sz="1100" baseline="0"/>
            <a:t>No Sig dif between high and low volume for any subspecies=</a:t>
          </a:r>
          <a:r>
            <a:rPr lang="en-US" sz="1100" u="sng" baseline="0"/>
            <a:t>combine data and compare subspecies</a:t>
          </a:r>
        </a:p>
        <a:p>
          <a:endParaRPr lang="en-US" sz="1100" u="sng" baseline="0"/>
        </a:p>
        <a:p>
          <a:r>
            <a:rPr lang="en-US" sz="1100" u="none"/>
            <a:t>Data with outliers removed by H/L</a:t>
          </a:r>
          <a:r>
            <a:rPr lang="en-US" sz="1100" u="none" baseline="0"/>
            <a:t> within subspecies combined. No outliers except for one in Tridentata that was not "off" enough to remove.</a:t>
          </a:r>
        </a:p>
        <a:p>
          <a:endParaRPr lang="en-US" sz="1100" u="none" baseline="0"/>
        </a:p>
        <a:p>
          <a:r>
            <a:rPr lang="en-US" sz="1100" u="none" baseline="0"/>
            <a:t>All groups normal. ANOVA shows no sig differences</a:t>
          </a:r>
          <a:endParaRPr lang="en-US" sz="1100" u="none"/>
        </a:p>
      </xdr:txBody>
    </xdr:sp>
    <xdr:clientData/>
  </xdr:twoCellAnchor>
  <xdr:twoCellAnchor editAs="oneCell">
    <xdr:from>
      <xdr:col>38</xdr:col>
      <xdr:colOff>0</xdr:colOff>
      <xdr:row>3</xdr:row>
      <xdr:rowOff>0</xdr:rowOff>
    </xdr:from>
    <xdr:to>
      <xdr:col>46</xdr:col>
      <xdr:colOff>352425</xdr:colOff>
      <xdr:row>26</xdr:row>
      <xdr:rowOff>57770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5113"/>
        <a:stretch/>
      </xdr:blipFill>
      <xdr:spPr>
        <a:xfrm>
          <a:off x="21945600" y="3790950"/>
          <a:ext cx="5229225" cy="443927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46</xdr:col>
      <xdr:colOff>361950</xdr:colOff>
      <xdr:row>52</xdr:row>
      <xdr:rowOff>86326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4977"/>
        <a:stretch/>
      </xdr:blipFill>
      <xdr:spPr>
        <a:xfrm>
          <a:off x="21945600" y="8943975"/>
          <a:ext cx="5238750" cy="4305901"/>
        </a:xfrm>
        <a:prstGeom prst="rect">
          <a:avLst/>
        </a:prstGeom>
      </xdr:spPr>
    </xdr:pic>
    <xdr:clientData/>
  </xdr:twoCellAnchor>
  <xdr:twoCellAnchor editAs="oneCell">
    <xdr:from>
      <xdr:col>33</xdr:col>
      <xdr:colOff>504825</xdr:colOff>
      <xdr:row>55</xdr:row>
      <xdr:rowOff>142875</xdr:rowOff>
    </xdr:from>
    <xdr:to>
      <xdr:col>40</xdr:col>
      <xdr:colOff>410158</xdr:colOff>
      <xdr:row>67</xdr:row>
      <xdr:rowOff>171773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02425" y="13877925"/>
          <a:ext cx="4172533" cy="2314898"/>
        </a:xfrm>
        <a:prstGeom prst="rect">
          <a:avLst/>
        </a:prstGeom>
      </xdr:spPr>
    </xdr:pic>
    <xdr:clientData/>
  </xdr:twoCellAnchor>
  <xdr:twoCellAnchor editAs="oneCell">
    <xdr:from>
      <xdr:col>57</xdr:col>
      <xdr:colOff>1</xdr:colOff>
      <xdr:row>6</xdr:row>
      <xdr:rowOff>0</xdr:rowOff>
    </xdr:from>
    <xdr:to>
      <xdr:col>68</xdr:col>
      <xdr:colOff>171451</xdr:colOff>
      <xdr:row>32</xdr:row>
      <xdr:rowOff>116097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747201" y="4362450"/>
          <a:ext cx="6991350" cy="5078622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6</xdr:row>
      <xdr:rowOff>0</xdr:rowOff>
    </xdr:from>
    <xdr:to>
      <xdr:col>80</xdr:col>
      <xdr:colOff>512619</xdr:colOff>
      <xdr:row>31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786300" y="4362450"/>
          <a:ext cx="6608619" cy="4800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142874</xdr:rowOff>
    </xdr:from>
    <xdr:to>
      <xdr:col>11</xdr:col>
      <xdr:colOff>495300</xdr:colOff>
      <xdr:row>0</xdr:row>
      <xdr:rowOff>2285999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09550" y="142874"/>
          <a:ext cx="5314950" cy="2143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 within subspecies using JUMP</a:t>
          </a:r>
        </a:p>
        <a:p>
          <a:endParaRPr lang="en-US" sz="1100"/>
        </a:p>
        <a:p>
          <a:r>
            <a:rPr lang="en-US" sz="1100"/>
            <a:t>None</a:t>
          </a:r>
          <a:r>
            <a:rPr lang="en-US" sz="1100" baseline="0"/>
            <a:t> of the groups normalized. nonparametric wilcoxon test between H/L for each subspecies. No sig dif.</a:t>
          </a:r>
        </a:p>
        <a:p>
          <a:endParaRPr lang="en-US" sz="1100" baseline="0"/>
        </a:p>
        <a:p>
          <a:r>
            <a:rPr lang="en-US" sz="1100" baseline="0"/>
            <a:t>H/L combined into subspecies, one outlier in tridentata but not "off" enough to remove. </a:t>
          </a:r>
        </a:p>
        <a:p>
          <a:endParaRPr lang="en-US" sz="1100" baseline="0"/>
        </a:p>
        <a:p>
          <a:r>
            <a:rPr lang="en-US" sz="1100" baseline="0"/>
            <a:t>None of the subspecies normal. Wilcoxon test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0.0022*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Tridentata has more AUC than vaseyana. No sig dif between wyomingensis and other two subspecies	</a:t>
          </a:r>
        </a:p>
        <a:p>
          <a:endParaRPr lang="en-US" sz="1100"/>
        </a:p>
      </xdr:txBody>
    </xdr:sp>
    <xdr:clientData/>
  </xdr:twoCellAnchor>
  <xdr:twoCellAnchor editAs="oneCell">
    <xdr:from>
      <xdr:col>23</xdr:col>
      <xdr:colOff>0</xdr:colOff>
      <xdr:row>18</xdr:row>
      <xdr:rowOff>0</xdr:rowOff>
    </xdr:from>
    <xdr:to>
      <xdr:col>27</xdr:col>
      <xdr:colOff>495710</xdr:colOff>
      <xdr:row>29</xdr:row>
      <xdr:rowOff>105082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24840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27</xdr:col>
      <xdr:colOff>467131</xdr:colOff>
      <xdr:row>59</xdr:row>
      <xdr:rowOff>105082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73200" y="11963400"/>
          <a:ext cx="2905531" cy="220058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27</xdr:col>
      <xdr:colOff>429025</xdr:colOff>
      <xdr:row>91</xdr:row>
      <xdr:rowOff>105082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73200" y="18059400"/>
          <a:ext cx="2867425" cy="220058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40</xdr:col>
      <xdr:colOff>419669</xdr:colOff>
      <xdr:row>35</xdr:row>
      <xdr:rowOff>28898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78800" y="7200900"/>
          <a:ext cx="4077269" cy="231489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25</xdr:col>
      <xdr:colOff>409575</xdr:colOff>
      <xdr:row>120</xdr:row>
      <xdr:rowOff>57770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8989"/>
        <a:stretch/>
      </xdr:blipFill>
      <xdr:spPr>
        <a:xfrm>
          <a:off x="10515600" y="21297900"/>
          <a:ext cx="5286375" cy="443927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124</xdr:row>
      <xdr:rowOff>0</xdr:rowOff>
    </xdr:from>
    <xdr:to>
      <xdr:col>25</xdr:col>
      <xdr:colOff>466725</xdr:colOff>
      <xdr:row>146</xdr:row>
      <xdr:rowOff>114901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8113"/>
        <a:stretch/>
      </xdr:blipFill>
      <xdr:spPr>
        <a:xfrm>
          <a:off x="10515600" y="26441400"/>
          <a:ext cx="5343525" cy="4305901"/>
        </a:xfrm>
        <a:prstGeom prst="rect">
          <a:avLst/>
        </a:prstGeom>
      </xdr:spPr>
    </xdr:pic>
    <xdr:clientData/>
  </xdr:twoCellAnchor>
  <xdr:twoCellAnchor editAs="oneCell">
    <xdr:from>
      <xdr:col>40</xdr:col>
      <xdr:colOff>609599</xdr:colOff>
      <xdr:row>6</xdr:row>
      <xdr:rowOff>0</xdr:rowOff>
    </xdr:from>
    <xdr:to>
      <xdr:col>47</xdr:col>
      <xdr:colOff>431800</xdr:colOff>
      <xdr:row>22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145999" y="3962400"/>
          <a:ext cx="4089401" cy="306705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56</xdr:col>
      <xdr:colOff>423761</xdr:colOff>
      <xdr:row>24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22800" y="3962400"/>
          <a:ext cx="4690961" cy="3552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133349</xdr:rowOff>
    </xdr:from>
    <xdr:to>
      <xdr:col>12</xdr:col>
      <xdr:colOff>466725</xdr:colOff>
      <xdr:row>0</xdr:row>
      <xdr:rowOff>2162174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19075" y="133349"/>
          <a:ext cx="52387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low and high within subspecies in JUMP, one outlier in Wyomingensis low not "off"</a:t>
          </a:r>
          <a:r>
            <a:rPr lang="en-US" sz="1100" baseline="0"/>
            <a:t> enough to remove</a:t>
          </a:r>
          <a:endParaRPr lang="en-US" sz="1100"/>
        </a:p>
        <a:p>
          <a:endParaRPr lang="en-US" sz="1100"/>
        </a:p>
        <a:p>
          <a:r>
            <a:rPr lang="en-US" sz="1100" baseline="0"/>
            <a:t>Tridentata high, Vaseyana low and high, and Wyomingensis low not normal.  Wilcoxon test. No sig dif.</a:t>
          </a:r>
        </a:p>
        <a:p>
          <a:endParaRPr lang="en-US" sz="1100" baseline="0"/>
        </a:p>
        <a:p>
          <a:r>
            <a:rPr lang="en-US" sz="1100" baseline="0"/>
            <a:t>H/L combined into subspecies.  Outliers removed from subspecies, one outlier in wyomingensis no "off"enough to remove.</a:t>
          </a:r>
        </a:p>
        <a:p>
          <a:endParaRPr lang="en-US" sz="1100"/>
        </a:p>
        <a:p>
          <a:r>
            <a:rPr lang="en-US" sz="1100"/>
            <a:t>No groups normal. Wilcoxon test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0.3215</a:t>
          </a:r>
        </a:p>
        <a:p>
          <a:r>
            <a:rPr lang="en-US" sz="1100"/>
            <a:t>No sig</a:t>
          </a:r>
          <a:r>
            <a:rPr lang="en-US" sz="1100" baseline="0"/>
            <a:t> dif, but vaseyana has more AUC than tridentata</a:t>
          </a:r>
          <a:endParaRPr lang="en-US" sz="1100"/>
        </a:p>
      </xdr:txBody>
    </xdr:sp>
    <xdr:clientData/>
  </xdr:twoCellAnchor>
  <xdr:twoCellAnchor editAs="oneCell">
    <xdr:from>
      <xdr:col>32</xdr:col>
      <xdr:colOff>0</xdr:colOff>
      <xdr:row>21</xdr:row>
      <xdr:rowOff>0</xdr:rowOff>
    </xdr:from>
    <xdr:to>
      <xdr:col>36</xdr:col>
      <xdr:colOff>495710</xdr:colOff>
      <xdr:row>32</xdr:row>
      <xdr:rowOff>105082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02300" y="680085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36</xdr:col>
      <xdr:colOff>533815</xdr:colOff>
      <xdr:row>61</xdr:row>
      <xdr:rowOff>105082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02300" y="12325350"/>
          <a:ext cx="2972215" cy="220058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81</xdr:row>
      <xdr:rowOff>0</xdr:rowOff>
    </xdr:from>
    <xdr:to>
      <xdr:col>36</xdr:col>
      <xdr:colOff>495710</xdr:colOff>
      <xdr:row>92</xdr:row>
      <xdr:rowOff>105082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02300" y="1823085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45</xdr:col>
      <xdr:colOff>133350</xdr:colOff>
      <xdr:row>19</xdr:row>
      <xdr:rowOff>38100</xdr:rowOff>
    </xdr:from>
    <xdr:to>
      <xdr:col>51</xdr:col>
      <xdr:colOff>553019</xdr:colOff>
      <xdr:row>31</xdr:row>
      <xdr:rowOff>66998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9650" y="6457950"/>
          <a:ext cx="4077269" cy="2314898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97</xdr:row>
      <xdr:rowOff>0</xdr:rowOff>
    </xdr:from>
    <xdr:to>
      <xdr:col>34</xdr:col>
      <xdr:colOff>457201</xdr:colOff>
      <xdr:row>120</xdr:row>
      <xdr:rowOff>57770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8616"/>
        <a:stretch/>
      </xdr:blipFill>
      <xdr:spPr>
        <a:xfrm>
          <a:off x="15963901" y="21278850"/>
          <a:ext cx="5334000" cy="4439270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124</xdr:row>
      <xdr:rowOff>0</xdr:rowOff>
    </xdr:from>
    <xdr:to>
      <xdr:col>34</xdr:col>
      <xdr:colOff>457201</xdr:colOff>
      <xdr:row>146</xdr:row>
      <xdr:rowOff>114901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8616"/>
        <a:stretch/>
      </xdr:blipFill>
      <xdr:spPr>
        <a:xfrm>
          <a:off x="15963901" y="26422350"/>
          <a:ext cx="5334000" cy="4305901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190499</xdr:rowOff>
    </xdr:from>
    <xdr:to>
      <xdr:col>60</xdr:col>
      <xdr:colOff>171450</xdr:colOff>
      <xdr:row>24</xdr:row>
      <xdr:rowOff>90486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423100" y="4133849"/>
          <a:ext cx="4438650" cy="3328987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69</xdr:col>
      <xdr:colOff>184068</xdr:colOff>
      <xdr:row>24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909500" y="4133850"/>
          <a:ext cx="4451268" cy="3295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228600</xdr:rowOff>
    </xdr:from>
    <xdr:to>
      <xdr:col>9</xdr:col>
      <xdr:colOff>142875</xdr:colOff>
      <xdr:row>0</xdr:row>
      <xdr:rowOff>1990725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04800" y="228600"/>
          <a:ext cx="5438775" cy="1762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  <a:r>
            <a:rPr lang="en-US" sz="1100" baseline="0"/>
            <a:t> outliers found in JUMP</a:t>
          </a:r>
        </a:p>
        <a:p>
          <a:endParaRPr lang="en-US" sz="1100" baseline="0"/>
        </a:p>
        <a:p>
          <a:r>
            <a:rPr lang="en-US" sz="1100" baseline="0"/>
            <a:t>Tridentata Low not normally distributed. Wilcoxon test. No sig dif.</a:t>
          </a:r>
        </a:p>
        <a:p>
          <a:endParaRPr lang="en-US" sz="1100" baseline="0"/>
        </a:p>
        <a:p>
          <a:r>
            <a:rPr lang="en-US" sz="1100" baseline="0"/>
            <a:t>Data with outliers removed from H/L combined into subspecies.  No outliers to remove.</a:t>
          </a:r>
        </a:p>
        <a:p>
          <a:endParaRPr lang="en-US" sz="1100" baseline="0"/>
        </a:p>
        <a:p>
          <a:r>
            <a:rPr lang="en-US" sz="1100" baseline="0"/>
            <a:t>Wyomingensis not normally distributed. Wilcoxon test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0.0002*	</a:t>
          </a:r>
        </a:p>
        <a:p>
          <a:r>
            <a:rPr lang="en-US" sz="1100"/>
            <a:t>Vaseyana has</a:t>
          </a:r>
          <a:r>
            <a:rPr lang="en-US" sz="1100" baseline="0"/>
            <a:t> lower %N than tridentata and wyomingensis. No sig dif between wyomingensis and tridentata</a:t>
          </a:r>
          <a:endParaRPr lang="en-US" sz="1100"/>
        </a:p>
      </xdr:txBody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457604</xdr:colOff>
      <xdr:row>29</xdr:row>
      <xdr:rowOff>105082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6300" y="36195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24</xdr:col>
      <xdr:colOff>457604</xdr:colOff>
      <xdr:row>60</xdr:row>
      <xdr:rowOff>105082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6300" y="95250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</xdr:row>
      <xdr:rowOff>0</xdr:rowOff>
    </xdr:from>
    <xdr:to>
      <xdr:col>24</xdr:col>
      <xdr:colOff>457604</xdr:colOff>
      <xdr:row>90</xdr:row>
      <xdr:rowOff>105082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06300" y="152400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35</xdr:col>
      <xdr:colOff>38531</xdr:colOff>
      <xdr:row>31</xdr:row>
      <xdr:rowOff>105082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02300" y="4000500"/>
          <a:ext cx="3086531" cy="2200582"/>
        </a:xfrm>
        <a:prstGeom prst="rect">
          <a:avLst/>
        </a:prstGeom>
      </xdr:spPr>
    </xdr:pic>
    <xdr:clientData/>
  </xdr:twoCellAnchor>
  <xdr:twoCellAnchor editAs="oneCell">
    <xdr:from>
      <xdr:col>30</xdr:col>
      <xdr:colOff>9525</xdr:colOff>
      <xdr:row>39</xdr:row>
      <xdr:rowOff>66675</xdr:rowOff>
    </xdr:from>
    <xdr:to>
      <xdr:col>36</xdr:col>
      <xdr:colOff>391089</xdr:colOff>
      <xdr:row>51</xdr:row>
      <xdr:rowOff>95573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11825" y="10306050"/>
          <a:ext cx="4039164" cy="231489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25</xdr:col>
      <xdr:colOff>10378</xdr:colOff>
      <xdr:row>117</xdr:row>
      <xdr:rowOff>57770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8300" y="20716875"/>
          <a:ext cx="6106378" cy="4439270"/>
        </a:xfrm>
        <a:prstGeom prst="rect">
          <a:avLst/>
        </a:prstGeom>
      </xdr:spPr>
    </xdr:pic>
    <xdr:clientData/>
  </xdr:twoCellAnchor>
  <xdr:twoCellAnchor>
    <xdr:from>
      <xdr:col>15</xdr:col>
      <xdr:colOff>390525</xdr:colOff>
      <xdr:row>124</xdr:row>
      <xdr:rowOff>61912</xdr:rowOff>
    </xdr:from>
    <xdr:to>
      <xdr:col>23</xdr:col>
      <xdr:colOff>85725</xdr:colOff>
      <xdr:row>138</xdr:row>
      <xdr:rowOff>138112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36</xdr:col>
      <xdr:colOff>609599</xdr:colOff>
      <xdr:row>6</xdr:row>
      <xdr:rowOff>0</xdr:rowOff>
    </xdr:from>
    <xdr:to>
      <xdr:col>43</xdr:col>
      <xdr:colOff>403760</xdr:colOff>
      <xdr:row>22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669499" y="3952875"/>
          <a:ext cx="4061361" cy="3086100"/>
        </a:xfrm>
        <a:prstGeom prst="rect">
          <a:avLst/>
        </a:prstGeom>
      </xdr:spPr>
    </xdr:pic>
    <xdr:clientData/>
  </xdr:twoCellAnchor>
  <xdr:twoCellAnchor editAs="oneCell">
    <xdr:from>
      <xdr:col>44</xdr:col>
      <xdr:colOff>609599</xdr:colOff>
      <xdr:row>6</xdr:row>
      <xdr:rowOff>0</xdr:rowOff>
    </xdr:from>
    <xdr:to>
      <xdr:col>51</xdr:col>
      <xdr:colOff>453900</xdr:colOff>
      <xdr:row>22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546299" y="3952875"/>
          <a:ext cx="4111501" cy="3124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180975</xdr:rowOff>
    </xdr:from>
    <xdr:to>
      <xdr:col>9</xdr:col>
      <xdr:colOff>219075</xdr:colOff>
      <xdr:row>0</xdr:row>
      <xdr:rowOff>2009775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61925" y="180975"/>
          <a:ext cx="56578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volume groups within subspecies in JUMP</a:t>
          </a:r>
        </a:p>
        <a:p>
          <a:endParaRPr lang="en-US" sz="1100"/>
        </a:p>
        <a:p>
          <a:r>
            <a:rPr lang="en-US" sz="1100"/>
            <a:t>Tridentata High, Vaseyana Low, and</a:t>
          </a:r>
          <a:r>
            <a:rPr lang="en-US" sz="1100" baseline="0"/>
            <a:t> Wyoming Low not normally distributed. Wilcoxon test. All sig dif.</a:t>
          </a:r>
        </a:p>
        <a:p>
          <a:endParaRPr lang="en-US" sz="1100" baseline="0"/>
        </a:p>
        <a:p>
          <a:r>
            <a:rPr lang="en-US" sz="1100" baseline="0"/>
            <a:t>Data with outliers removed from H/L combined into subspecies. No outliers to remove.</a:t>
          </a:r>
        </a:p>
        <a:p>
          <a:endParaRPr lang="en-US" sz="1100" baseline="0"/>
        </a:p>
        <a:p>
          <a:r>
            <a:rPr lang="en-US" sz="1100" baseline="0"/>
            <a:t>None of the data normally distributed. Wilcoxon test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0.0027*	</a:t>
          </a:r>
        </a:p>
        <a:p>
          <a:r>
            <a:rPr lang="en-US" sz="1100"/>
            <a:t>Tridentata has significantly more volume than vaseyana and</a:t>
          </a:r>
          <a:r>
            <a:rPr lang="en-US" sz="1100" baseline="0"/>
            <a:t> wyomingensis. No sig dif between wyomingensis and vaseyana.</a:t>
          </a:r>
          <a:endParaRPr lang="en-US" sz="1100"/>
        </a:p>
      </xdr:txBody>
    </xdr:sp>
    <xdr:clientData/>
  </xdr:twoCellAnchor>
  <xdr:twoCellAnchor editAs="oneCell">
    <xdr:from>
      <xdr:col>24</xdr:col>
      <xdr:colOff>0</xdr:colOff>
      <xdr:row>19</xdr:row>
      <xdr:rowOff>0</xdr:rowOff>
    </xdr:from>
    <xdr:to>
      <xdr:col>29</xdr:col>
      <xdr:colOff>19478</xdr:colOff>
      <xdr:row>30</xdr:row>
      <xdr:rowOff>105082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4700" y="38100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29</xdr:col>
      <xdr:colOff>19478</xdr:colOff>
      <xdr:row>63</xdr:row>
      <xdr:rowOff>105082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44700" y="100965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</xdr:row>
      <xdr:rowOff>0</xdr:rowOff>
    </xdr:from>
    <xdr:to>
      <xdr:col>29</xdr:col>
      <xdr:colOff>19478</xdr:colOff>
      <xdr:row>94</xdr:row>
      <xdr:rowOff>105082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44700" y="160020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39</xdr:col>
      <xdr:colOff>210005</xdr:colOff>
      <xdr:row>32</xdr:row>
      <xdr:rowOff>105082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40700" y="4191000"/>
          <a:ext cx="3258005" cy="220058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41</xdr:col>
      <xdr:colOff>553038</xdr:colOff>
      <xdr:row>51</xdr:row>
      <xdr:rowOff>28898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50300" y="10220325"/>
          <a:ext cx="4210638" cy="231489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98</xdr:row>
      <xdr:rowOff>0</xdr:rowOff>
    </xdr:from>
    <xdr:to>
      <xdr:col>26</xdr:col>
      <xdr:colOff>428625</xdr:colOff>
      <xdr:row>121</xdr:row>
      <xdr:rowOff>57770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6252"/>
        <a:stretch/>
      </xdr:blipFill>
      <xdr:spPr>
        <a:xfrm>
          <a:off x="11087100" y="21459825"/>
          <a:ext cx="5305425" cy="443927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124</xdr:row>
      <xdr:rowOff>0</xdr:rowOff>
    </xdr:from>
    <xdr:to>
      <xdr:col>26</xdr:col>
      <xdr:colOff>342900</xdr:colOff>
      <xdr:row>146</xdr:row>
      <xdr:rowOff>114901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7606"/>
        <a:stretch/>
      </xdr:blipFill>
      <xdr:spPr>
        <a:xfrm>
          <a:off x="11087100" y="26412825"/>
          <a:ext cx="5219700" cy="4305901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190499</xdr:rowOff>
    </xdr:from>
    <xdr:to>
      <xdr:col>48</xdr:col>
      <xdr:colOff>366568</xdr:colOff>
      <xdr:row>22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107900" y="3743324"/>
          <a:ext cx="4633768" cy="3324225"/>
        </a:xfrm>
        <a:prstGeom prst="rect">
          <a:avLst/>
        </a:prstGeom>
      </xdr:spPr>
    </xdr:pic>
    <xdr:clientData/>
  </xdr:twoCellAnchor>
  <xdr:twoCellAnchor editAs="oneCell">
    <xdr:from>
      <xdr:col>49</xdr:col>
      <xdr:colOff>609599</xdr:colOff>
      <xdr:row>5</xdr:row>
      <xdr:rowOff>0</xdr:rowOff>
    </xdr:from>
    <xdr:to>
      <xdr:col>57</xdr:col>
      <xdr:colOff>247072</xdr:colOff>
      <xdr:row>22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594299" y="3743325"/>
          <a:ext cx="4514273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4.1640625" bestFit="1" customWidth="1"/>
  </cols>
  <sheetData>
    <row r="1" spans="1:3" ht="16" thickBot="1" x14ac:dyDescent="0.25">
      <c r="A1" t="s">
        <v>0</v>
      </c>
    </row>
    <row r="2" spans="1:3" x14ac:dyDescent="0.2">
      <c r="A2" s="26" t="s">
        <v>1</v>
      </c>
      <c r="B2" s="1" t="s">
        <v>2</v>
      </c>
      <c r="C2" s="2">
        <v>31</v>
      </c>
    </row>
    <row r="3" spans="1:3" x14ac:dyDescent="0.2">
      <c r="A3" s="27"/>
      <c r="B3" s="3" t="s">
        <v>3</v>
      </c>
      <c r="C3" s="4">
        <v>39</v>
      </c>
    </row>
    <row r="4" spans="1:3" x14ac:dyDescent="0.2">
      <c r="A4" s="27" t="s">
        <v>4</v>
      </c>
      <c r="B4" s="3" t="s">
        <v>2</v>
      </c>
      <c r="C4" s="4">
        <v>23</v>
      </c>
    </row>
    <row r="5" spans="1:3" x14ac:dyDescent="0.2">
      <c r="A5" s="27"/>
      <c r="B5" s="3" t="s">
        <v>3</v>
      </c>
      <c r="C5" s="4">
        <v>26</v>
      </c>
    </row>
    <row r="6" spans="1:3" x14ac:dyDescent="0.2">
      <c r="A6" s="27" t="s">
        <v>5</v>
      </c>
      <c r="B6" s="3" t="s">
        <v>2</v>
      </c>
      <c r="C6" s="4">
        <v>24</v>
      </c>
    </row>
    <row r="7" spans="1:3" ht="16" thickBot="1" x14ac:dyDescent="0.25">
      <c r="A7" s="28"/>
      <c r="B7" s="5" t="s">
        <v>3</v>
      </c>
      <c r="C7" s="6">
        <v>28</v>
      </c>
    </row>
    <row r="8" spans="1:3" x14ac:dyDescent="0.2">
      <c r="B8" s="8" t="s">
        <v>58</v>
      </c>
      <c r="C8">
        <f>SUM(C2:C7)</f>
        <v>171</v>
      </c>
    </row>
  </sheetData>
  <mergeCells count="3">
    <mergeCell ref="A2:A3"/>
    <mergeCell ref="A4:A5"/>
    <mergeCell ref="A6: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2"/>
  <sheetViews>
    <sheetView topLeftCell="K1" zoomScaleNormal="100" workbookViewId="0">
      <selection activeCell="P1" sqref="P1:P172"/>
    </sheetView>
  </sheetViews>
  <sheetFormatPr baseColWidth="10" defaultColWidth="8.83203125" defaultRowHeight="15" x14ac:dyDescent="0.2"/>
  <cols>
    <col min="2" max="3" width="10.83203125" customWidth="1"/>
    <col min="4" max="5" width="9.1640625" customWidth="1"/>
    <col min="6" max="6" width="16.83203125" customWidth="1"/>
    <col min="7" max="7" width="10.33203125" customWidth="1"/>
    <col min="8" max="8" width="10.5" customWidth="1"/>
    <col min="9" max="10" width="10.33203125" customWidth="1"/>
    <col min="11" max="11" width="10.5" customWidth="1"/>
    <col min="12" max="13" width="9.1640625" customWidth="1"/>
    <col min="14" max="14" width="12.33203125" customWidth="1"/>
    <col min="15" max="15" width="7.6640625" customWidth="1"/>
    <col min="16" max="16" width="14.33203125" customWidth="1"/>
    <col min="17" max="20" width="9.1640625" customWidth="1"/>
    <col min="21" max="21" width="10.33203125" style="12" customWidth="1"/>
    <col min="22" max="22" width="12.5" bestFit="1" customWidth="1"/>
    <col min="23" max="23" width="9.1640625" style="12" customWidth="1"/>
    <col min="25" max="25" width="9.1640625" customWidth="1"/>
    <col min="26" max="27" width="12.1640625" bestFit="1" customWidth="1"/>
  </cols>
  <sheetData>
    <row r="1" spans="1:27" s="7" customFormat="1" ht="48" x14ac:dyDescent="0.2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56</v>
      </c>
      <c r="P1" s="7" t="s">
        <v>57</v>
      </c>
      <c r="Q1" s="7" t="s">
        <v>20</v>
      </c>
      <c r="R1" s="7" t="s">
        <v>21</v>
      </c>
      <c r="S1" s="7" t="s">
        <v>22</v>
      </c>
      <c r="T1" s="7" t="s">
        <v>23</v>
      </c>
      <c r="U1" s="11" t="s">
        <v>24</v>
      </c>
      <c r="V1" s="7" t="s">
        <v>53</v>
      </c>
      <c r="W1" s="11" t="s">
        <v>54</v>
      </c>
      <c r="X1" s="7" t="s">
        <v>55</v>
      </c>
      <c r="Y1" s="7" t="s">
        <v>6</v>
      </c>
      <c r="Z1" s="7" t="s">
        <v>266</v>
      </c>
      <c r="AA1" s="7" t="s">
        <v>267</v>
      </c>
    </row>
    <row r="2" spans="1:27" x14ac:dyDescent="0.2">
      <c r="A2">
        <v>6</v>
      </c>
      <c r="B2" t="s">
        <v>25</v>
      </c>
      <c r="C2" t="s">
        <v>26</v>
      </c>
      <c r="D2" t="s">
        <v>27</v>
      </c>
      <c r="E2">
        <v>3</v>
      </c>
      <c r="G2" t="s">
        <v>28</v>
      </c>
      <c r="H2">
        <v>5.1799999999999999E-2</v>
      </c>
      <c r="I2">
        <v>14.935589999999999</v>
      </c>
      <c r="J2">
        <v>5.1369999999999999E-2</v>
      </c>
      <c r="K2">
        <v>14.957240000000001</v>
      </c>
      <c r="L2">
        <f t="shared" ref="L2:L33" si="0">K2-I2</f>
        <v>2.1650000000001057E-2</v>
      </c>
      <c r="M2">
        <f t="shared" ref="M2:M33" si="1">L2/J2</f>
        <v>0.42145220946079537</v>
      </c>
      <c r="N2">
        <f t="shared" ref="N2:N33" si="2">M2*H2</f>
        <v>2.18312244500692E-2</v>
      </c>
      <c r="O2">
        <v>3190.6549999999997</v>
      </c>
      <c r="P2">
        <f>(O2/1000)/N2</f>
        <v>146.15098696353175</v>
      </c>
      <c r="Q2">
        <v>1725.0727540487001</v>
      </c>
      <c r="R2" t="s">
        <v>2</v>
      </c>
      <c r="S2">
        <v>2.88</v>
      </c>
      <c r="T2">
        <v>44.150000000000006</v>
      </c>
      <c r="U2" s="12">
        <v>27369.7</v>
      </c>
      <c r="V2">
        <v>44</v>
      </c>
      <c r="W2" s="12">
        <v>27369.713139999996</v>
      </c>
      <c r="X2">
        <v>44</v>
      </c>
      <c r="Y2">
        <v>6</v>
      </c>
      <c r="Z2">
        <v>2137.9856</v>
      </c>
      <c r="AA2">
        <v>0</v>
      </c>
    </row>
    <row r="3" spans="1:27" x14ac:dyDescent="0.2">
      <c r="A3">
        <v>10</v>
      </c>
      <c r="B3" t="s">
        <v>29</v>
      </c>
      <c r="C3" t="s">
        <v>30</v>
      </c>
      <c r="D3" t="s">
        <v>27</v>
      </c>
      <c r="E3">
        <v>2</v>
      </c>
      <c r="G3" t="s">
        <v>31</v>
      </c>
      <c r="H3">
        <v>5.1769999999999997E-2</v>
      </c>
      <c r="I3">
        <v>14.97349</v>
      </c>
      <c r="J3">
        <v>4.8840000000000001E-2</v>
      </c>
      <c r="K3">
        <v>14.99211</v>
      </c>
      <c r="L3">
        <f t="shared" si="0"/>
        <v>1.8620000000000303E-2</v>
      </c>
      <c r="M3">
        <f t="shared" si="1"/>
        <v>0.38124488124488742</v>
      </c>
      <c r="N3">
        <f t="shared" si="2"/>
        <v>1.9737047502047821E-2</v>
      </c>
      <c r="O3">
        <v>3878.665</v>
      </c>
      <c r="P3">
        <f t="shared" ref="P3:P66" si="3">(O3/1000)/N3</f>
        <v>196.51698155955538</v>
      </c>
      <c r="Q3">
        <v>1477.151731405896</v>
      </c>
      <c r="R3" t="s">
        <v>2</v>
      </c>
      <c r="S3">
        <v>4.08</v>
      </c>
      <c r="T3">
        <v>45.54</v>
      </c>
      <c r="U3" s="12">
        <v>32633.8</v>
      </c>
      <c r="V3">
        <v>77</v>
      </c>
      <c r="W3" s="12">
        <v>32628.529330000005</v>
      </c>
      <c r="X3">
        <v>76</v>
      </c>
      <c r="Y3">
        <v>10</v>
      </c>
      <c r="Z3">
        <v>4250.6904299999997</v>
      </c>
      <c r="AA3">
        <v>944.79241999999999</v>
      </c>
    </row>
    <row r="4" spans="1:27" x14ac:dyDescent="0.2">
      <c r="A4">
        <v>15</v>
      </c>
      <c r="B4" t="s">
        <v>29</v>
      </c>
      <c r="C4" t="s">
        <v>32</v>
      </c>
      <c r="D4" t="s">
        <v>33</v>
      </c>
      <c r="E4">
        <v>2</v>
      </c>
      <c r="G4" t="s">
        <v>34</v>
      </c>
      <c r="H4">
        <v>5.1920000000000001E-2</v>
      </c>
      <c r="I4">
        <v>14.907780000000001</v>
      </c>
      <c r="J4">
        <v>5.1459999999999999E-2</v>
      </c>
      <c r="K4">
        <v>14.92751</v>
      </c>
      <c r="L4">
        <f t="shared" si="0"/>
        <v>1.9729999999999137E-2</v>
      </c>
      <c r="M4">
        <f t="shared" si="1"/>
        <v>0.38340458608626382</v>
      </c>
      <c r="N4">
        <f t="shared" si="2"/>
        <v>1.9906366109598818E-2</v>
      </c>
      <c r="O4">
        <v>3878.0925000000002</v>
      </c>
      <c r="P4">
        <f t="shared" si="3"/>
        <v>194.81669726399687</v>
      </c>
      <c r="Q4">
        <v>922.99516315900848</v>
      </c>
      <c r="R4" t="s">
        <v>2</v>
      </c>
      <c r="S4">
        <v>3.9450000000000003</v>
      </c>
      <c r="T4">
        <v>44.195</v>
      </c>
      <c r="U4" s="12">
        <v>31453</v>
      </c>
      <c r="V4">
        <v>60</v>
      </c>
      <c r="W4" s="12">
        <v>31453</v>
      </c>
      <c r="X4">
        <v>60</v>
      </c>
      <c r="Y4">
        <v>15</v>
      </c>
      <c r="Z4">
        <v>1582.4105199999999</v>
      </c>
      <c r="AA4">
        <v>0</v>
      </c>
    </row>
    <row r="5" spans="1:27" x14ac:dyDescent="0.2">
      <c r="A5">
        <v>17</v>
      </c>
      <c r="B5" t="s">
        <v>35</v>
      </c>
      <c r="C5" t="s">
        <v>36</v>
      </c>
      <c r="D5" t="s">
        <v>27</v>
      </c>
      <c r="E5">
        <v>1</v>
      </c>
      <c r="G5" t="s">
        <v>28</v>
      </c>
      <c r="H5">
        <v>5.2249999999999998E-2</v>
      </c>
      <c r="I5">
        <v>14.89265</v>
      </c>
      <c r="J5">
        <v>5.169E-2</v>
      </c>
      <c r="K5">
        <v>14.91226</v>
      </c>
      <c r="L5">
        <f t="shared" si="0"/>
        <v>1.9610000000000127E-2</v>
      </c>
      <c r="M5">
        <f t="shared" si="1"/>
        <v>0.37937705552331452</v>
      </c>
      <c r="N5">
        <f t="shared" si="2"/>
        <v>1.9822451151093184E-2</v>
      </c>
      <c r="O5">
        <v>1950.6875</v>
      </c>
      <c r="P5">
        <f t="shared" si="3"/>
        <v>98.407986233953807</v>
      </c>
      <c r="Q5">
        <v>616.58133950221736</v>
      </c>
      <c r="R5" t="s">
        <v>2</v>
      </c>
      <c r="S5">
        <v>2.38</v>
      </c>
      <c r="T5">
        <v>45.375</v>
      </c>
      <c r="U5" s="12">
        <v>31681.200000000001</v>
      </c>
      <c r="V5">
        <v>66</v>
      </c>
      <c r="W5" s="12">
        <v>31681.227910000009</v>
      </c>
      <c r="X5">
        <v>66</v>
      </c>
      <c r="Y5">
        <v>17</v>
      </c>
      <c r="Z5">
        <v>6379.7456099999999</v>
      </c>
      <c r="AA5">
        <v>0</v>
      </c>
    </row>
    <row r="6" spans="1:27" x14ac:dyDescent="0.2">
      <c r="A6">
        <v>20</v>
      </c>
      <c r="B6" t="s">
        <v>29</v>
      </c>
      <c r="C6" t="s">
        <v>26</v>
      </c>
      <c r="D6" t="s">
        <v>33</v>
      </c>
      <c r="E6">
        <v>1</v>
      </c>
      <c r="G6" t="s">
        <v>34</v>
      </c>
      <c r="H6">
        <v>5.1869999999999999E-2</v>
      </c>
      <c r="I6">
        <v>14.99461</v>
      </c>
      <c r="J6">
        <v>5.1459999999999999E-2</v>
      </c>
      <c r="K6">
        <v>15.014200000000001</v>
      </c>
      <c r="L6">
        <f t="shared" si="0"/>
        <v>1.9590000000000884E-2</v>
      </c>
      <c r="M6">
        <f t="shared" si="1"/>
        <v>0.38068402642831101</v>
      </c>
      <c r="N6">
        <f t="shared" si="2"/>
        <v>1.9746080450836492E-2</v>
      </c>
      <c r="O6">
        <v>1809.395</v>
      </c>
      <c r="P6">
        <f t="shared" si="3"/>
        <v>91.633122051994363</v>
      </c>
      <c r="Q6">
        <v>2982.9294780949149</v>
      </c>
      <c r="R6" t="s">
        <v>2</v>
      </c>
      <c r="S6">
        <v>4.5449999999999999</v>
      </c>
      <c r="T6">
        <v>45.68</v>
      </c>
      <c r="U6" s="12">
        <v>22520.7</v>
      </c>
      <c r="V6">
        <v>69</v>
      </c>
      <c r="W6" s="12">
        <v>22520.7</v>
      </c>
      <c r="X6">
        <v>69</v>
      </c>
      <c r="Y6">
        <v>20</v>
      </c>
      <c r="Z6">
        <v>2177.2141099999999</v>
      </c>
      <c r="AA6">
        <v>1064.7192399999999</v>
      </c>
    </row>
    <row r="7" spans="1:27" x14ac:dyDescent="0.2">
      <c r="A7">
        <v>23</v>
      </c>
      <c r="B7" t="s">
        <v>29</v>
      </c>
      <c r="C7" t="s">
        <v>37</v>
      </c>
      <c r="D7" t="s">
        <v>27</v>
      </c>
      <c r="E7">
        <v>2</v>
      </c>
      <c r="F7" t="s">
        <v>38</v>
      </c>
      <c r="G7" t="s">
        <v>39</v>
      </c>
      <c r="H7">
        <v>5.4019999999999999E-2</v>
      </c>
      <c r="I7">
        <v>15.0242</v>
      </c>
      <c r="J7">
        <v>5.067E-2</v>
      </c>
      <c r="K7">
        <v>15.048539999999999</v>
      </c>
      <c r="L7">
        <f t="shared" si="0"/>
        <v>2.4339999999998696E-2</v>
      </c>
      <c r="M7">
        <f t="shared" si="1"/>
        <v>0.48036313400431607</v>
      </c>
      <c r="N7">
        <f t="shared" si="2"/>
        <v>2.5949216498913154E-2</v>
      </c>
      <c r="O7">
        <v>3394.8775000000001</v>
      </c>
      <c r="P7">
        <f t="shared" si="3"/>
        <v>130.82774580659071</v>
      </c>
      <c r="Q7">
        <v>1373.0660240347561</v>
      </c>
      <c r="R7" t="s">
        <v>2</v>
      </c>
      <c r="S7">
        <v>3.1850000000000001</v>
      </c>
      <c r="T7">
        <v>46.010000000000005</v>
      </c>
      <c r="U7" s="12">
        <v>21561.599999999999</v>
      </c>
      <c r="V7">
        <v>64</v>
      </c>
      <c r="W7" s="12">
        <v>21555.711049999991</v>
      </c>
      <c r="X7">
        <v>63</v>
      </c>
      <c r="Y7">
        <v>23</v>
      </c>
      <c r="Z7">
        <v>1094.047</v>
      </c>
      <c r="AA7">
        <v>590.35888999999997</v>
      </c>
    </row>
    <row r="8" spans="1:27" x14ac:dyDescent="0.2">
      <c r="A8">
        <v>25</v>
      </c>
      <c r="B8" t="s">
        <v>29</v>
      </c>
      <c r="C8" t="s">
        <v>26</v>
      </c>
      <c r="D8" t="s">
        <v>33</v>
      </c>
      <c r="E8">
        <v>1</v>
      </c>
      <c r="F8" t="s">
        <v>40</v>
      </c>
      <c r="G8" t="s">
        <v>28</v>
      </c>
      <c r="H8">
        <v>5.1950000000000003E-2</v>
      </c>
      <c r="I8">
        <v>14.987</v>
      </c>
      <c r="J8">
        <v>5.0750000000000003E-2</v>
      </c>
      <c r="K8">
        <v>15.00657</v>
      </c>
      <c r="L8">
        <f t="shared" si="0"/>
        <v>1.9569999999999865E-2</v>
      </c>
      <c r="M8">
        <f t="shared" si="1"/>
        <v>0.38561576354679533</v>
      </c>
      <c r="N8">
        <f t="shared" si="2"/>
        <v>2.003273891625602E-2</v>
      </c>
      <c r="O8">
        <v>2114.7112499999998</v>
      </c>
      <c r="P8">
        <f t="shared" si="3"/>
        <v>105.56276197879112</v>
      </c>
      <c r="Q8">
        <v>4510.8689016262942</v>
      </c>
      <c r="R8" t="s">
        <v>2</v>
      </c>
      <c r="S8">
        <v>4.1050000000000004</v>
      </c>
      <c r="T8">
        <v>44.86</v>
      </c>
      <c r="U8" s="12">
        <v>23068.400000000001</v>
      </c>
      <c r="V8">
        <v>64</v>
      </c>
      <c r="W8" s="12">
        <v>23068.400000000001</v>
      </c>
      <c r="X8">
        <v>64</v>
      </c>
      <c r="Y8">
        <v>25</v>
      </c>
      <c r="Z8">
        <v>2033.94849</v>
      </c>
      <c r="AA8">
        <v>911.75365999999997</v>
      </c>
    </row>
    <row r="9" spans="1:27" x14ac:dyDescent="0.2">
      <c r="A9">
        <v>31</v>
      </c>
      <c r="B9" t="s">
        <v>29</v>
      </c>
      <c r="C9" t="s">
        <v>32</v>
      </c>
      <c r="D9" t="s">
        <v>33</v>
      </c>
      <c r="E9">
        <v>3</v>
      </c>
      <c r="F9" t="s">
        <v>41</v>
      </c>
      <c r="G9" t="s">
        <v>28</v>
      </c>
      <c r="H9">
        <v>5.101E-2</v>
      </c>
      <c r="I9">
        <v>14.80925</v>
      </c>
      <c r="J9">
        <v>5.2830000000000002E-2</v>
      </c>
      <c r="K9">
        <v>14.83062</v>
      </c>
      <c r="L9">
        <f t="shared" si="0"/>
        <v>2.1369999999999223E-2</v>
      </c>
      <c r="M9">
        <f t="shared" si="1"/>
        <v>0.40450501608932843</v>
      </c>
      <c r="N9">
        <f t="shared" si="2"/>
        <v>2.0633800870716642E-2</v>
      </c>
      <c r="O9">
        <v>3174.50875</v>
      </c>
      <c r="P9">
        <f t="shared" si="3"/>
        <v>153.84992662719947</v>
      </c>
      <c r="Q9">
        <v>1919.781239993162</v>
      </c>
      <c r="R9" t="s">
        <v>2</v>
      </c>
      <c r="S9">
        <v>4.1950000000000003</v>
      </c>
      <c r="T9">
        <v>44.625</v>
      </c>
      <c r="U9" s="12">
        <v>31314.3</v>
      </c>
      <c r="V9">
        <v>67</v>
      </c>
      <c r="W9" s="12">
        <v>31309.344240000002</v>
      </c>
      <c r="X9">
        <v>66</v>
      </c>
      <c r="Y9">
        <v>31</v>
      </c>
      <c r="Z9">
        <v>2400.0927700000002</v>
      </c>
      <c r="AA9">
        <v>507.21431999999999</v>
      </c>
    </row>
    <row r="10" spans="1:27" x14ac:dyDescent="0.2">
      <c r="A10">
        <v>42</v>
      </c>
      <c r="B10" t="s">
        <v>29</v>
      </c>
      <c r="C10" t="s">
        <v>32</v>
      </c>
      <c r="D10" t="s">
        <v>33</v>
      </c>
      <c r="E10">
        <v>2</v>
      </c>
      <c r="F10" t="s">
        <v>40</v>
      </c>
      <c r="G10" t="s">
        <v>28</v>
      </c>
      <c r="H10">
        <v>5.0540000000000002E-2</v>
      </c>
      <c r="I10">
        <v>14.898070000000001</v>
      </c>
      <c r="J10">
        <v>5.0209999999999998E-2</v>
      </c>
      <c r="K10">
        <v>14.91685</v>
      </c>
      <c r="L10">
        <f t="shared" si="0"/>
        <v>1.8779999999999575E-2</v>
      </c>
      <c r="M10">
        <f t="shared" si="1"/>
        <v>0.37402907787292522</v>
      </c>
      <c r="N10">
        <f t="shared" si="2"/>
        <v>1.890342959569764E-2</v>
      </c>
      <c r="O10">
        <v>1905.93625</v>
      </c>
      <c r="P10">
        <f t="shared" si="3"/>
        <v>100.82489213670438</v>
      </c>
      <c r="Q10">
        <v>55338.964187336656</v>
      </c>
      <c r="R10" t="s">
        <v>3</v>
      </c>
      <c r="S10">
        <v>3.9400000000000004</v>
      </c>
      <c r="T10">
        <v>49.234999999999999</v>
      </c>
      <c r="U10" s="12">
        <v>17652.5</v>
      </c>
      <c r="V10">
        <v>67</v>
      </c>
      <c r="W10" s="12">
        <v>17652.528750000005</v>
      </c>
      <c r="X10">
        <v>67</v>
      </c>
      <c r="Y10">
        <v>42</v>
      </c>
      <c r="Z10">
        <v>382.42102</v>
      </c>
      <c r="AA10">
        <v>683.39209000000005</v>
      </c>
    </row>
    <row r="11" spans="1:27" x14ac:dyDescent="0.2">
      <c r="A11">
        <v>43</v>
      </c>
      <c r="B11" t="s">
        <v>25</v>
      </c>
      <c r="C11" t="s">
        <v>42</v>
      </c>
      <c r="D11" t="s">
        <v>33</v>
      </c>
      <c r="E11">
        <v>3</v>
      </c>
      <c r="G11" t="s">
        <v>34</v>
      </c>
      <c r="H11">
        <v>4.9099999999999998E-2</v>
      </c>
      <c r="I11">
        <v>14.94866</v>
      </c>
      <c r="J11">
        <v>5.1880000000000003E-2</v>
      </c>
      <c r="K11">
        <v>14.97017</v>
      </c>
      <c r="L11">
        <f t="shared" si="0"/>
        <v>2.1509999999999252E-2</v>
      </c>
      <c r="M11">
        <f t="shared" si="1"/>
        <v>0.41461063993830477</v>
      </c>
      <c r="N11">
        <f t="shared" si="2"/>
        <v>2.0357382420970762E-2</v>
      </c>
      <c r="O11">
        <v>2708.3337500000007</v>
      </c>
      <c r="P11">
        <f t="shared" si="3"/>
        <v>133.03939052645902</v>
      </c>
      <c r="Q11">
        <v>3177.4090215219439</v>
      </c>
      <c r="R11" t="s">
        <v>2</v>
      </c>
      <c r="S11">
        <v>2.6150000000000002</v>
      </c>
      <c r="T11">
        <v>49.94</v>
      </c>
      <c r="U11" s="12">
        <v>27826.1</v>
      </c>
      <c r="V11">
        <v>65</v>
      </c>
      <c r="W11" s="12">
        <v>27826.084190000012</v>
      </c>
      <c r="X11">
        <v>65</v>
      </c>
      <c r="Y11">
        <v>43</v>
      </c>
      <c r="Z11">
        <v>5657.3422899999996</v>
      </c>
      <c r="AA11">
        <v>0</v>
      </c>
    </row>
    <row r="12" spans="1:27" x14ac:dyDescent="0.2">
      <c r="A12">
        <v>47</v>
      </c>
      <c r="B12" t="s">
        <v>29</v>
      </c>
      <c r="C12" t="s">
        <v>42</v>
      </c>
      <c r="D12" t="s">
        <v>33</v>
      </c>
      <c r="E12">
        <v>2</v>
      </c>
      <c r="G12" t="s">
        <v>39</v>
      </c>
      <c r="H12">
        <v>5.0909999999999997E-2</v>
      </c>
      <c r="I12">
        <v>14.940910000000001</v>
      </c>
      <c r="J12">
        <v>5.0160000000000003E-2</v>
      </c>
      <c r="K12">
        <v>14.96228</v>
      </c>
      <c r="L12">
        <f t="shared" si="0"/>
        <v>2.1369999999999223E-2</v>
      </c>
      <c r="M12">
        <f t="shared" si="1"/>
        <v>0.42603668261561445</v>
      </c>
      <c r="N12">
        <f t="shared" si="2"/>
        <v>2.1689527511960929E-2</v>
      </c>
      <c r="O12">
        <v>2001.0562500000001</v>
      </c>
      <c r="P12">
        <f t="shared" si="3"/>
        <v>92.259098262813495</v>
      </c>
      <c r="Q12">
        <v>3358.4257513428879</v>
      </c>
      <c r="R12" t="s">
        <v>2</v>
      </c>
      <c r="S12">
        <v>2.54</v>
      </c>
      <c r="T12">
        <v>45.23</v>
      </c>
      <c r="U12" s="12">
        <v>48984.894850000026</v>
      </c>
      <c r="V12">
        <v>72</v>
      </c>
      <c r="W12" s="12">
        <v>48984.894850000026</v>
      </c>
      <c r="X12">
        <v>72</v>
      </c>
      <c r="Y12">
        <v>47</v>
      </c>
      <c r="Z12">
        <v>3754.88672</v>
      </c>
      <c r="AA12">
        <v>497.15487999999999</v>
      </c>
    </row>
    <row r="13" spans="1:27" x14ac:dyDescent="0.2">
      <c r="A13">
        <v>48</v>
      </c>
      <c r="B13" t="s">
        <v>25</v>
      </c>
      <c r="C13" t="s">
        <v>42</v>
      </c>
      <c r="D13" t="s">
        <v>33</v>
      </c>
      <c r="E13">
        <v>1</v>
      </c>
      <c r="G13" t="s">
        <v>34</v>
      </c>
      <c r="H13">
        <v>5.2359999999999997E-2</v>
      </c>
      <c r="I13">
        <v>14.885009999999999</v>
      </c>
      <c r="J13">
        <v>5.2949999999999997E-2</v>
      </c>
      <c r="K13">
        <v>14.910500000000001</v>
      </c>
      <c r="L13">
        <f t="shared" si="0"/>
        <v>2.5490000000001345E-2</v>
      </c>
      <c r="M13">
        <f t="shared" si="1"/>
        <v>0.48139754485366093</v>
      </c>
      <c r="N13">
        <f t="shared" si="2"/>
        <v>2.5205975448537685E-2</v>
      </c>
      <c r="O13">
        <v>4625.2012500000001</v>
      </c>
      <c r="P13">
        <f t="shared" si="3"/>
        <v>183.49622134017946</v>
      </c>
      <c r="Q13">
        <v>3251.1360477688859</v>
      </c>
      <c r="R13" t="s">
        <v>2</v>
      </c>
      <c r="S13">
        <v>3.47</v>
      </c>
      <c r="T13">
        <v>45.72</v>
      </c>
      <c r="U13" s="12">
        <v>29829.599999999999</v>
      </c>
      <c r="V13">
        <v>68</v>
      </c>
      <c r="W13" s="12">
        <v>29829.571869999992</v>
      </c>
      <c r="X13">
        <v>68</v>
      </c>
      <c r="Y13">
        <v>48</v>
      </c>
      <c r="Z13">
        <v>4750.9086900000002</v>
      </c>
      <c r="AA13">
        <v>0</v>
      </c>
    </row>
    <row r="14" spans="1:27" x14ac:dyDescent="0.2">
      <c r="A14">
        <v>50</v>
      </c>
      <c r="B14" t="s">
        <v>35</v>
      </c>
      <c r="C14" t="s">
        <v>36</v>
      </c>
      <c r="D14" t="s">
        <v>27</v>
      </c>
      <c r="E14">
        <v>2</v>
      </c>
      <c r="G14" t="s">
        <v>31</v>
      </c>
      <c r="H14">
        <v>5.0299999999999997E-2</v>
      </c>
      <c r="I14">
        <v>15.069190000000001</v>
      </c>
      <c r="J14">
        <v>4.9840000000000002E-2</v>
      </c>
      <c r="K14">
        <v>15.09821</v>
      </c>
      <c r="L14">
        <f t="shared" si="0"/>
        <v>2.9019999999999158E-2</v>
      </c>
      <c r="M14">
        <f t="shared" si="1"/>
        <v>0.58226324237558502</v>
      </c>
      <c r="N14">
        <f t="shared" si="2"/>
        <v>2.9287841091491924E-2</v>
      </c>
      <c r="O14">
        <v>3544.4112500000001</v>
      </c>
      <c r="P14">
        <f t="shared" si="3"/>
        <v>121.0198880459525</v>
      </c>
      <c r="Q14">
        <v>3104.8051272150328</v>
      </c>
      <c r="R14" t="s">
        <v>2</v>
      </c>
      <c r="S14">
        <v>3.21</v>
      </c>
      <c r="T14">
        <v>45.78</v>
      </c>
      <c r="U14" s="12">
        <v>40420.300000000003</v>
      </c>
      <c r="V14">
        <v>77</v>
      </c>
      <c r="W14" s="12">
        <v>40415.96746</v>
      </c>
      <c r="X14">
        <v>76</v>
      </c>
      <c r="Y14">
        <v>50</v>
      </c>
      <c r="Z14">
        <v>11695.9</v>
      </c>
      <c r="AA14">
        <v>491.60836999999998</v>
      </c>
    </row>
    <row r="15" spans="1:27" x14ac:dyDescent="0.2">
      <c r="A15">
        <v>53</v>
      </c>
      <c r="B15" t="s">
        <v>29</v>
      </c>
      <c r="C15" t="s">
        <v>37</v>
      </c>
      <c r="D15" t="s">
        <v>27</v>
      </c>
      <c r="E15">
        <v>2</v>
      </c>
      <c r="F15" t="s">
        <v>40</v>
      </c>
      <c r="G15" t="s">
        <v>28</v>
      </c>
      <c r="H15">
        <v>5.11E-2</v>
      </c>
      <c r="I15">
        <v>14.85765</v>
      </c>
      <c r="J15">
        <v>5.2940000000000001E-2</v>
      </c>
      <c r="K15">
        <v>14.88063</v>
      </c>
      <c r="L15">
        <f t="shared" si="0"/>
        <v>2.2980000000000445E-2</v>
      </c>
      <c r="M15">
        <f t="shared" si="1"/>
        <v>0.43407631280695963</v>
      </c>
      <c r="N15">
        <f t="shared" si="2"/>
        <v>2.2181299584435637E-2</v>
      </c>
      <c r="O15">
        <v>3399.0925000000007</v>
      </c>
      <c r="P15">
        <f t="shared" si="3"/>
        <v>153.2413593288783</v>
      </c>
      <c r="Q15">
        <v>2581.5306728871287</v>
      </c>
      <c r="R15" t="s">
        <v>2</v>
      </c>
      <c r="S15">
        <v>2.5499999999999998</v>
      </c>
      <c r="T15">
        <v>45.14</v>
      </c>
      <c r="U15" s="12">
        <v>24711</v>
      </c>
      <c r="V15">
        <v>78</v>
      </c>
      <c r="W15" s="12">
        <v>24705.400850000002</v>
      </c>
      <c r="X15">
        <v>77</v>
      </c>
      <c r="Y15">
        <v>53</v>
      </c>
      <c r="Z15">
        <v>3741.1704100000002</v>
      </c>
      <c r="AA15">
        <v>1009.45947</v>
      </c>
    </row>
    <row r="16" spans="1:27" x14ac:dyDescent="0.2">
      <c r="A16">
        <v>54</v>
      </c>
      <c r="B16" t="s">
        <v>29</v>
      </c>
      <c r="C16" t="s">
        <v>43</v>
      </c>
      <c r="D16" t="s">
        <v>27</v>
      </c>
      <c r="E16">
        <v>1</v>
      </c>
      <c r="F16" t="s">
        <v>40</v>
      </c>
      <c r="G16" t="s">
        <v>34</v>
      </c>
      <c r="H16">
        <v>5.0200000000000002E-2</v>
      </c>
      <c r="I16">
        <v>14.877980000000001</v>
      </c>
      <c r="J16">
        <v>5.1450000000000003E-2</v>
      </c>
      <c r="K16">
        <v>14.897169999999999</v>
      </c>
      <c r="L16">
        <f t="shared" si="0"/>
        <v>1.9189999999998264E-2</v>
      </c>
      <c r="M16">
        <f t="shared" si="1"/>
        <v>0.3729834791058943</v>
      </c>
      <c r="N16">
        <f t="shared" si="2"/>
        <v>1.8723770651115895E-2</v>
      </c>
      <c r="O16">
        <v>2209.84</v>
      </c>
      <c r="P16">
        <f t="shared" si="3"/>
        <v>118.02323587360854</v>
      </c>
      <c r="Q16">
        <v>11943.106411943594</v>
      </c>
      <c r="R16" t="s">
        <v>3</v>
      </c>
      <c r="S16">
        <v>3.41</v>
      </c>
      <c r="T16">
        <v>45.47</v>
      </c>
      <c r="U16" s="12">
        <v>18106.900000000001</v>
      </c>
      <c r="V16">
        <v>72</v>
      </c>
      <c r="W16" s="12">
        <v>18106.900000000001</v>
      </c>
      <c r="X16">
        <v>72</v>
      </c>
      <c r="Y16">
        <v>54</v>
      </c>
      <c r="Z16">
        <v>1277.6127899999999</v>
      </c>
      <c r="AA16">
        <v>1716.3057899999999</v>
      </c>
    </row>
    <row r="17" spans="1:27" x14ac:dyDescent="0.2">
      <c r="A17">
        <v>55</v>
      </c>
      <c r="B17" t="s">
        <v>29</v>
      </c>
      <c r="C17" t="s">
        <v>32</v>
      </c>
      <c r="D17" t="s">
        <v>33</v>
      </c>
      <c r="E17">
        <v>1</v>
      </c>
      <c r="F17" t="s">
        <v>44</v>
      </c>
      <c r="G17" t="s">
        <v>28</v>
      </c>
      <c r="H17">
        <v>5.2229999999999999E-2</v>
      </c>
      <c r="I17">
        <v>14.845470000000001</v>
      </c>
      <c r="J17">
        <v>5.1549999999999999E-2</v>
      </c>
      <c r="K17">
        <v>14.8658</v>
      </c>
      <c r="L17">
        <f t="shared" si="0"/>
        <v>2.0329999999999515E-2</v>
      </c>
      <c r="M17">
        <f t="shared" si="1"/>
        <v>0.39437439379242512</v>
      </c>
      <c r="N17">
        <f t="shared" si="2"/>
        <v>2.0598174587778365E-2</v>
      </c>
      <c r="O17">
        <v>2518.6937499999999</v>
      </c>
      <c r="P17">
        <f t="shared" si="3"/>
        <v>122.27752217880661</v>
      </c>
      <c r="Q17">
        <v>1430.6063109113359</v>
      </c>
      <c r="R17" t="s">
        <v>2</v>
      </c>
      <c r="U17" s="12">
        <v>21707.3</v>
      </c>
      <c r="V17">
        <v>65</v>
      </c>
      <c r="W17" s="12">
        <v>21701.151179999993</v>
      </c>
      <c r="X17">
        <v>64</v>
      </c>
      <c r="Y17">
        <v>55</v>
      </c>
      <c r="Z17">
        <v>1689.3819599999999</v>
      </c>
      <c r="AA17">
        <v>771.60961999999995</v>
      </c>
    </row>
    <row r="18" spans="1:27" x14ac:dyDescent="0.2">
      <c r="A18">
        <v>56</v>
      </c>
      <c r="B18" t="s">
        <v>35</v>
      </c>
      <c r="C18" t="s">
        <v>26</v>
      </c>
      <c r="D18" t="s">
        <v>27</v>
      </c>
      <c r="E18">
        <v>2</v>
      </c>
      <c r="G18" t="s">
        <v>28</v>
      </c>
      <c r="H18">
        <v>5.0560000000000001E-2</v>
      </c>
      <c r="I18">
        <v>14.99128</v>
      </c>
      <c r="J18">
        <v>4.9770000000000002E-2</v>
      </c>
      <c r="K18">
        <v>15.01132</v>
      </c>
      <c r="L18">
        <f t="shared" si="0"/>
        <v>2.0039999999999836E-2</v>
      </c>
      <c r="M18">
        <f t="shared" si="1"/>
        <v>0.40265220012055125</v>
      </c>
      <c r="N18">
        <f t="shared" si="2"/>
        <v>2.0358095238095071E-2</v>
      </c>
      <c r="O18">
        <v>2845.9850000000001</v>
      </c>
      <c r="P18">
        <f t="shared" si="3"/>
        <v>139.79623175524068</v>
      </c>
      <c r="Q18">
        <v>2242.6251952931575</v>
      </c>
      <c r="R18" t="s">
        <v>2</v>
      </c>
      <c r="S18">
        <v>3.17</v>
      </c>
      <c r="T18">
        <v>44.78</v>
      </c>
      <c r="U18" s="12">
        <v>31207.599999999999</v>
      </c>
      <c r="V18">
        <v>73</v>
      </c>
      <c r="W18" s="12">
        <v>31199.078119999998</v>
      </c>
      <c r="X18">
        <v>72</v>
      </c>
      <c r="Y18">
        <v>56</v>
      </c>
      <c r="Z18">
        <v>385.80563000000001</v>
      </c>
      <c r="AA18" s="14">
        <v>0</v>
      </c>
    </row>
    <row r="19" spans="1:27" x14ac:dyDescent="0.2">
      <c r="A19">
        <v>57</v>
      </c>
      <c r="B19" t="s">
        <v>35</v>
      </c>
      <c r="C19" t="s">
        <v>32</v>
      </c>
      <c r="D19" t="s">
        <v>27</v>
      </c>
      <c r="E19">
        <v>1</v>
      </c>
      <c r="G19" t="s">
        <v>28</v>
      </c>
      <c r="H19">
        <v>5.0250000000000003E-2</v>
      </c>
      <c r="I19">
        <v>14.83704</v>
      </c>
      <c r="J19">
        <v>4.999E-2</v>
      </c>
      <c r="K19">
        <v>14.85576</v>
      </c>
      <c r="L19">
        <f t="shared" si="0"/>
        <v>1.872000000000007E-2</v>
      </c>
      <c r="M19">
        <f t="shared" si="1"/>
        <v>0.37447489497899722</v>
      </c>
      <c r="N19">
        <f t="shared" si="2"/>
        <v>1.8817363472694613E-2</v>
      </c>
      <c r="O19">
        <v>2336.6899999999996</v>
      </c>
      <c r="P19">
        <f t="shared" si="3"/>
        <v>124.177332461623</v>
      </c>
      <c r="Q19">
        <v>1118.7839087757541</v>
      </c>
      <c r="R19" t="s">
        <v>2</v>
      </c>
      <c r="S19">
        <v>3.89</v>
      </c>
      <c r="T19">
        <v>44.29</v>
      </c>
      <c r="U19" s="12">
        <v>38323.9</v>
      </c>
      <c r="V19">
        <v>83</v>
      </c>
      <c r="W19" s="12">
        <v>38320.273580000001</v>
      </c>
      <c r="X19">
        <v>82</v>
      </c>
      <c r="Y19">
        <v>57</v>
      </c>
      <c r="Z19">
        <v>1422.91479</v>
      </c>
      <c r="AA19">
        <v>948.59014999999999</v>
      </c>
    </row>
    <row r="20" spans="1:27" x14ac:dyDescent="0.2">
      <c r="A20">
        <v>60</v>
      </c>
      <c r="B20" t="s">
        <v>35</v>
      </c>
      <c r="C20" t="s">
        <v>45</v>
      </c>
      <c r="D20" t="s">
        <v>27</v>
      </c>
      <c r="E20">
        <v>2</v>
      </c>
      <c r="G20" t="s">
        <v>34</v>
      </c>
      <c r="H20">
        <v>5.0020000000000002E-2</v>
      </c>
      <c r="I20">
        <v>14.808719999999999</v>
      </c>
      <c r="J20">
        <v>5.2319999999999998E-2</v>
      </c>
      <c r="K20">
        <v>14.832689999999999</v>
      </c>
      <c r="L20">
        <f t="shared" si="0"/>
        <v>2.3970000000000269E-2</v>
      </c>
      <c r="M20">
        <f t="shared" si="1"/>
        <v>0.45814220183486754</v>
      </c>
      <c r="N20">
        <f t="shared" si="2"/>
        <v>2.2916272935780076E-2</v>
      </c>
      <c r="O20">
        <v>3611.7237500000001</v>
      </c>
      <c r="P20">
        <f t="shared" si="3"/>
        <v>157.60519872151085</v>
      </c>
      <c r="Q20">
        <v>2352.0711498345081</v>
      </c>
      <c r="R20" t="s">
        <v>2</v>
      </c>
      <c r="S20">
        <v>3.25</v>
      </c>
      <c r="T20">
        <v>45.31</v>
      </c>
      <c r="U20" s="12">
        <v>41601.4</v>
      </c>
      <c r="V20">
        <v>76</v>
      </c>
      <c r="W20" s="12">
        <v>41596.433009999986</v>
      </c>
      <c r="X20">
        <v>75</v>
      </c>
      <c r="Y20">
        <v>60</v>
      </c>
      <c r="Z20">
        <v>1200.896</v>
      </c>
      <c r="AA20">
        <v>1058.7412099999999</v>
      </c>
    </row>
    <row r="21" spans="1:27" x14ac:dyDescent="0.2">
      <c r="A21">
        <v>63</v>
      </c>
      <c r="B21" t="s">
        <v>35</v>
      </c>
      <c r="C21" t="s">
        <v>45</v>
      </c>
      <c r="D21" t="s">
        <v>27</v>
      </c>
      <c r="E21">
        <v>1</v>
      </c>
      <c r="G21" t="s">
        <v>34</v>
      </c>
      <c r="H21">
        <v>5.2200000000000003E-2</v>
      </c>
      <c r="I21">
        <v>14.92732</v>
      </c>
      <c r="J21">
        <v>5.0070000000000003E-2</v>
      </c>
      <c r="K21">
        <v>14.94819</v>
      </c>
      <c r="L21">
        <f t="shared" si="0"/>
        <v>2.0870000000000388E-2</v>
      </c>
      <c r="M21">
        <f t="shared" si="1"/>
        <v>0.41681645696026337</v>
      </c>
      <c r="N21">
        <f t="shared" si="2"/>
        <v>2.1757819053325748E-2</v>
      </c>
      <c r="O21">
        <v>2779.2174999999997</v>
      </c>
      <c r="P21">
        <f t="shared" si="3"/>
        <v>127.73419492038602</v>
      </c>
      <c r="Q21">
        <v>13360.171691969352</v>
      </c>
      <c r="R21" t="s">
        <v>3</v>
      </c>
      <c r="S21">
        <v>3.58</v>
      </c>
      <c r="T21">
        <v>44.91</v>
      </c>
      <c r="U21" s="12">
        <v>38125</v>
      </c>
      <c r="V21">
        <v>69</v>
      </c>
      <c r="W21" s="12">
        <v>38125</v>
      </c>
      <c r="X21">
        <v>69</v>
      </c>
      <c r="Y21">
        <v>63</v>
      </c>
      <c r="Z21">
        <v>4817.6279299999997</v>
      </c>
      <c r="AA21">
        <v>964.98431000000005</v>
      </c>
    </row>
    <row r="22" spans="1:27" x14ac:dyDescent="0.2">
      <c r="A22">
        <v>64</v>
      </c>
      <c r="B22" t="s">
        <v>29</v>
      </c>
      <c r="C22" t="s">
        <v>30</v>
      </c>
      <c r="D22" t="s">
        <v>27</v>
      </c>
      <c r="E22">
        <v>2</v>
      </c>
      <c r="F22" t="s">
        <v>40</v>
      </c>
      <c r="G22" t="s">
        <v>28</v>
      </c>
      <c r="H22">
        <v>5.1950000000000003E-2</v>
      </c>
      <c r="I22">
        <v>14.89035</v>
      </c>
      <c r="J22">
        <v>5.1159999999999997E-2</v>
      </c>
      <c r="K22">
        <v>14.90818</v>
      </c>
      <c r="L22">
        <f t="shared" si="0"/>
        <v>1.7830000000000013E-2</v>
      </c>
      <c r="M22">
        <f t="shared" si="1"/>
        <v>0.34851446442533257</v>
      </c>
      <c r="N22">
        <f t="shared" si="2"/>
        <v>1.8105326426896027E-2</v>
      </c>
      <c r="O22">
        <v>2146.9112500000001</v>
      </c>
      <c r="P22">
        <f t="shared" si="3"/>
        <v>118.57898606073715</v>
      </c>
      <c r="Q22">
        <v>12429.650399596905</v>
      </c>
      <c r="R22" t="s">
        <v>3</v>
      </c>
      <c r="S22">
        <v>3.04</v>
      </c>
      <c r="T22">
        <v>44.55</v>
      </c>
      <c r="U22" s="12">
        <v>40359.081670000007</v>
      </c>
      <c r="V22">
        <v>75</v>
      </c>
      <c r="W22" s="12">
        <v>40359.081670000007</v>
      </c>
      <c r="X22">
        <v>75</v>
      </c>
      <c r="Y22">
        <v>64</v>
      </c>
      <c r="Z22">
        <v>7267.0156299999999</v>
      </c>
      <c r="AA22">
        <v>4288.7622099999999</v>
      </c>
    </row>
    <row r="23" spans="1:27" x14ac:dyDescent="0.2">
      <c r="A23">
        <v>70</v>
      </c>
      <c r="B23" t="s">
        <v>35</v>
      </c>
      <c r="C23" t="s">
        <v>45</v>
      </c>
      <c r="D23" t="s">
        <v>27</v>
      </c>
      <c r="E23">
        <v>3</v>
      </c>
      <c r="G23" t="s">
        <v>31</v>
      </c>
      <c r="H23">
        <v>4.9849999999999998E-2</v>
      </c>
      <c r="I23">
        <v>15.05613</v>
      </c>
      <c r="J23">
        <v>4.9639999999999997E-2</v>
      </c>
      <c r="K23">
        <v>15.07751</v>
      </c>
      <c r="L23">
        <f t="shared" si="0"/>
        <v>2.1380000000000621E-2</v>
      </c>
      <c r="M23">
        <f t="shared" si="1"/>
        <v>0.43070104754231714</v>
      </c>
      <c r="N23">
        <f t="shared" si="2"/>
        <v>2.147044721998451E-2</v>
      </c>
      <c r="O23">
        <v>2075.5212499999998</v>
      </c>
      <c r="P23">
        <f t="shared" si="3"/>
        <v>96.668747918213938</v>
      </c>
      <c r="Q23">
        <v>15902.390154094328</v>
      </c>
      <c r="R23" t="s">
        <v>3</v>
      </c>
      <c r="S23">
        <v>2.1800000000000002</v>
      </c>
      <c r="T23">
        <v>44.92</v>
      </c>
      <c r="U23" s="12">
        <v>22439</v>
      </c>
      <c r="V23">
        <v>76</v>
      </c>
      <c r="W23" s="12">
        <v>22434.243019999991</v>
      </c>
      <c r="X23">
        <v>75</v>
      </c>
      <c r="Y23">
        <v>70</v>
      </c>
      <c r="Z23">
        <v>1414.6163300000001</v>
      </c>
      <c r="AA23">
        <v>1223.5876499999999</v>
      </c>
    </row>
    <row r="24" spans="1:27" x14ac:dyDescent="0.2">
      <c r="A24">
        <v>71</v>
      </c>
      <c r="B24" t="s">
        <v>35</v>
      </c>
      <c r="C24" t="s">
        <v>45</v>
      </c>
      <c r="D24" t="s">
        <v>27</v>
      </c>
      <c r="E24">
        <v>1</v>
      </c>
      <c r="G24" t="s">
        <v>28</v>
      </c>
      <c r="H24">
        <v>5.176E-2</v>
      </c>
      <c r="I24">
        <v>14.89297</v>
      </c>
      <c r="J24">
        <v>5.1229999999999998E-2</v>
      </c>
      <c r="K24">
        <v>14.910869999999999</v>
      </c>
      <c r="L24">
        <f t="shared" si="0"/>
        <v>1.7899999999999139E-2</v>
      </c>
      <c r="M24">
        <f t="shared" si="1"/>
        <v>0.34940464571538432</v>
      </c>
      <c r="N24">
        <f t="shared" si="2"/>
        <v>1.8085184462228291E-2</v>
      </c>
      <c r="O24">
        <v>2278.06</v>
      </c>
      <c r="P24">
        <f t="shared" si="3"/>
        <v>125.96277382505161</v>
      </c>
      <c r="Q24">
        <v>8339.3179557126423</v>
      </c>
      <c r="R24" t="s">
        <v>3</v>
      </c>
      <c r="S24">
        <v>3.31</v>
      </c>
      <c r="T24">
        <v>44.28</v>
      </c>
      <c r="U24" s="12">
        <v>20191.900000000001</v>
      </c>
      <c r="V24">
        <v>77</v>
      </c>
      <c r="W24" s="12">
        <v>20186.571390000001</v>
      </c>
      <c r="X24">
        <v>76</v>
      </c>
      <c r="Y24">
        <v>71</v>
      </c>
      <c r="Z24">
        <v>727.47844999999995</v>
      </c>
      <c r="AA24">
        <v>985.42229999999995</v>
      </c>
    </row>
    <row r="25" spans="1:27" x14ac:dyDescent="0.2">
      <c r="A25">
        <v>72</v>
      </c>
      <c r="B25" t="s">
        <v>25</v>
      </c>
      <c r="C25" t="s">
        <v>46</v>
      </c>
      <c r="D25" t="s">
        <v>27</v>
      </c>
      <c r="E25">
        <v>2</v>
      </c>
      <c r="F25" t="s">
        <v>40</v>
      </c>
      <c r="G25" t="s">
        <v>28</v>
      </c>
      <c r="H25">
        <v>5.0950000000000002E-2</v>
      </c>
      <c r="I25">
        <v>14.98405</v>
      </c>
      <c r="J25">
        <v>5.1249999999999997E-2</v>
      </c>
      <c r="K25">
        <v>15.00853</v>
      </c>
      <c r="L25">
        <f t="shared" si="0"/>
        <v>2.4480000000000501E-2</v>
      </c>
      <c r="M25">
        <f t="shared" si="1"/>
        <v>0.47765853658537566</v>
      </c>
      <c r="N25">
        <f t="shared" si="2"/>
        <v>2.4336702439024891E-2</v>
      </c>
      <c r="O25">
        <v>3029.74</v>
      </c>
      <c r="P25">
        <f t="shared" si="3"/>
        <v>124.49262621306035</v>
      </c>
      <c r="Q25">
        <v>2313.7922680627848</v>
      </c>
      <c r="R25" t="s">
        <v>2</v>
      </c>
      <c r="S25">
        <v>3.33</v>
      </c>
      <c r="T25">
        <v>44.28</v>
      </c>
      <c r="U25" s="12">
        <v>38925.800000000003</v>
      </c>
      <c r="V25">
        <v>69</v>
      </c>
      <c r="W25" s="12">
        <v>38915.032840000007</v>
      </c>
      <c r="X25">
        <v>67</v>
      </c>
      <c r="Y25">
        <v>72</v>
      </c>
      <c r="Z25">
        <v>1362.63428</v>
      </c>
      <c r="AA25">
        <v>0</v>
      </c>
    </row>
    <row r="26" spans="1:27" x14ac:dyDescent="0.2">
      <c r="A26">
        <v>74</v>
      </c>
      <c r="B26" t="s">
        <v>25</v>
      </c>
      <c r="C26" t="s">
        <v>26</v>
      </c>
      <c r="D26" t="s">
        <v>27</v>
      </c>
      <c r="E26">
        <v>3</v>
      </c>
      <c r="F26" t="s">
        <v>40</v>
      </c>
      <c r="G26" t="s">
        <v>31</v>
      </c>
      <c r="H26">
        <v>5.289E-2</v>
      </c>
      <c r="I26">
        <v>14.937889999999999</v>
      </c>
      <c r="J26">
        <v>5.1119999999999999E-2</v>
      </c>
      <c r="K26">
        <v>14.96308</v>
      </c>
      <c r="L26">
        <f t="shared" si="0"/>
        <v>2.5190000000000268E-2</v>
      </c>
      <c r="M26">
        <f t="shared" si="1"/>
        <v>0.49276212832551386</v>
      </c>
      <c r="N26">
        <f t="shared" si="2"/>
        <v>2.6062188967136427E-2</v>
      </c>
      <c r="O26">
        <v>3263.84</v>
      </c>
      <c r="P26">
        <f t="shared" si="3"/>
        <v>125.23276552539758</v>
      </c>
      <c r="Q26">
        <v>900.26232644626964</v>
      </c>
      <c r="R26" t="s">
        <v>2</v>
      </c>
      <c r="S26">
        <v>3.04</v>
      </c>
      <c r="T26">
        <v>44.79</v>
      </c>
      <c r="U26" s="12">
        <v>37531.599999999999</v>
      </c>
      <c r="V26">
        <v>49</v>
      </c>
      <c r="W26" s="12">
        <v>37531.599999999999</v>
      </c>
      <c r="X26">
        <v>49</v>
      </c>
      <c r="Y26">
        <v>74</v>
      </c>
      <c r="Z26">
        <v>3836.3149400000002</v>
      </c>
      <c r="AA26">
        <v>0</v>
      </c>
    </row>
    <row r="27" spans="1:27" x14ac:dyDescent="0.2">
      <c r="A27">
        <v>80</v>
      </c>
      <c r="B27" t="s">
        <v>35</v>
      </c>
      <c r="C27" t="s">
        <v>26</v>
      </c>
      <c r="D27" t="s">
        <v>27</v>
      </c>
      <c r="E27">
        <v>2</v>
      </c>
      <c r="G27" t="s">
        <v>34</v>
      </c>
      <c r="H27">
        <v>5.04E-2</v>
      </c>
      <c r="I27">
        <v>15.005879999999999</v>
      </c>
      <c r="J27">
        <v>5.2549999999999999E-2</v>
      </c>
      <c r="K27">
        <v>15.02975</v>
      </c>
      <c r="L27">
        <f t="shared" si="0"/>
        <v>2.3870000000000502E-2</v>
      </c>
      <c r="M27">
        <f t="shared" si="1"/>
        <v>0.45423406279734541</v>
      </c>
      <c r="N27">
        <f t="shared" si="2"/>
        <v>2.289339676498621E-2</v>
      </c>
      <c r="O27">
        <v>2681.3075000000003</v>
      </c>
      <c r="P27">
        <f t="shared" si="3"/>
        <v>117.12143582383833</v>
      </c>
      <c r="Q27">
        <v>3187.8724896010053</v>
      </c>
      <c r="R27" t="s">
        <v>2</v>
      </c>
      <c r="S27">
        <v>3.43</v>
      </c>
      <c r="T27">
        <v>44.6</v>
      </c>
      <c r="U27" s="12">
        <v>25616.9</v>
      </c>
      <c r="V27">
        <v>61</v>
      </c>
      <c r="W27" s="12">
        <v>25616.9</v>
      </c>
      <c r="X27">
        <v>61</v>
      </c>
      <c r="Y27">
        <v>80</v>
      </c>
      <c r="Z27">
        <v>4388.5400399999999</v>
      </c>
      <c r="AA27">
        <v>0</v>
      </c>
    </row>
    <row r="28" spans="1:27" x14ac:dyDescent="0.2">
      <c r="A28">
        <v>84</v>
      </c>
      <c r="B28" t="s">
        <v>35</v>
      </c>
      <c r="C28" t="s">
        <v>26</v>
      </c>
      <c r="D28" t="s">
        <v>27</v>
      </c>
      <c r="E28">
        <v>2</v>
      </c>
      <c r="F28" t="s">
        <v>40</v>
      </c>
      <c r="G28" t="s">
        <v>31</v>
      </c>
      <c r="H28">
        <v>5.0369999999999998E-2</v>
      </c>
      <c r="I28">
        <v>14.90099</v>
      </c>
      <c r="J28">
        <v>4.9979999999999997E-2</v>
      </c>
      <c r="K28">
        <v>14.923640000000001</v>
      </c>
      <c r="L28">
        <f t="shared" si="0"/>
        <v>2.2650000000000503E-2</v>
      </c>
      <c r="M28">
        <f t="shared" si="1"/>
        <v>0.45318127250901369</v>
      </c>
      <c r="N28">
        <f t="shared" si="2"/>
        <v>2.2826740696279019E-2</v>
      </c>
      <c r="O28">
        <v>1951.1799999999998</v>
      </c>
      <c r="P28">
        <f t="shared" si="3"/>
        <v>85.477818579595166</v>
      </c>
      <c r="Q28">
        <v>7794.7814620102381</v>
      </c>
      <c r="R28" t="s">
        <v>3</v>
      </c>
      <c r="S28">
        <v>3.81</v>
      </c>
      <c r="T28">
        <v>43.96</v>
      </c>
      <c r="U28" s="12">
        <v>21177.4</v>
      </c>
      <c r="V28">
        <v>67</v>
      </c>
      <c r="W28" s="12">
        <v>21172.441639999994</v>
      </c>
      <c r="X28">
        <v>66</v>
      </c>
      <c r="Y28">
        <v>84</v>
      </c>
      <c r="Z28">
        <v>3409.9631300000001</v>
      </c>
      <c r="AA28">
        <v>1046.6413600000001</v>
      </c>
    </row>
    <row r="29" spans="1:27" x14ac:dyDescent="0.2">
      <c r="A29">
        <v>91</v>
      </c>
      <c r="B29" t="s">
        <v>29</v>
      </c>
      <c r="C29" t="s">
        <v>32</v>
      </c>
      <c r="D29" t="s">
        <v>33</v>
      </c>
      <c r="E29">
        <v>2</v>
      </c>
      <c r="F29" t="s">
        <v>47</v>
      </c>
      <c r="G29" t="s">
        <v>28</v>
      </c>
      <c r="H29">
        <v>5.1389999999999998E-2</v>
      </c>
      <c r="I29">
        <v>15.022259999999999</v>
      </c>
      <c r="J29">
        <v>5.0939999999999999E-2</v>
      </c>
      <c r="K29">
        <v>15.040229999999999</v>
      </c>
      <c r="L29">
        <f t="shared" si="0"/>
        <v>1.7970000000000041E-2</v>
      </c>
      <c r="M29">
        <f t="shared" si="1"/>
        <v>0.35276796230859919</v>
      </c>
      <c r="N29">
        <f t="shared" si="2"/>
        <v>1.812874558303891E-2</v>
      </c>
      <c r="O29">
        <v>3332.8287499999997</v>
      </c>
      <c r="P29">
        <f t="shared" si="3"/>
        <v>183.84221537744807</v>
      </c>
      <c r="Q29">
        <v>67113.076308910415</v>
      </c>
      <c r="R29" t="s">
        <v>3</v>
      </c>
      <c r="S29">
        <v>2.62</v>
      </c>
      <c r="T29">
        <v>44.03</v>
      </c>
      <c r="U29" s="12">
        <v>23811.5</v>
      </c>
      <c r="V29">
        <v>70</v>
      </c>
      <c r="W29" s="12">
        <v>23800.64503</v>
      </c>
      <c r="X29">
        <v>68</v>
      </c>
      <c r="Y29">
        <v>91</v>
      </c>
      <c r="Z29">
        <v>654.50811999999996</v>
      </c>
      <c r="AA29">
        <v>704.96942000000001</v>
      </c>
    </row>
    <row r="30" spans="1:27" x14ac:dyDescent="0.2">
      <c r="A30">
        <v>93</v>
      </c>
      <c r="B30" t="s">
        <v>35</v>
      </c>
      <c r="C30" t="s">
        <v>45</v>
      </c>
      <c r="D30" t="s">
        <v>27</v>
      </c>
      <c r="E30">
        <v>3</v>
      </c>
      <c r="F30" t="s">
        <v>40</v>
      </c>
      <c r="G30" t="s">
        <v>28</v>
      </c>
      <c r="H30">
        <v>5.1069999999999997E-2</v>
      </c>
      <c r="I30">
        <v>14.90408</v>
      </c>
      <c r="J30">
        <v>5.2290000000000003E-2</v>
      </c>
      <c r="K30">
        <v>14.92577</v>
      </c>
      <c r="L30">
        <f t="shared" si="0"/>
        <v>2.1689999999999543E-2</v>
      </c>
      <c r="M30">
        <f t="shared" si="1"/>
        <v>0.41480206540446629</v>
      </c>
      <c r="N30">
        <f t="shared" si="2"/>
        <v>2.1183941480206091E-2</v>
      </c>
      <c r="O30">
        <v>4434.7487499999997</v>
      </c>
      <c r="P30">
        <f t="shared" si="3"/>
        <v>209.34483576362558</v>
      </c>
      <c r="Q30">
        <v>14250.566137660617</v>
      </c>
      <c r="R30" t="s">
        <v>3</v>
      </c>
      <c r="S30">
        <v>3.03</v>
      </c>
      <c r="T30">
        <v>45.12</v>
      </c>
      <c r="U30" s="12">
        <v>24598.6</v>
      </c>
      <c r="V30">
        <v>64</v>
      </c>
      <c r="W30" s="12">
        <v>24588.931919999999</v>
      </c>
      <c r="X30">
        <v>63</v>
      </c>
      <c r="Y30">
        <v>93</v>
      </c>
      <c r="Z30">
        <v>314.35759999999999</v>
      </c>
      <c r="AA30">
        <v>0</v>
      </c>
    </row>
    <row r="31" spans="1:27" x14ac:dyDescent="0.2">
      <c r="A31">
        <v>96</v>
      </c>
      <c r="B31" t="s">
        <v>35</v>
      </c>
      <c r="C31" t="s">
        <v>36</v>
      </c>
      <c r="D31" t="s">
        <v>27</v>
      </c>
      <c r="E31">
        <v>3</v>
      </c>
      <c r="G31" t="s">
        <v>28</v>
      </c>
      <c r="H31">
        <v>5.253E-2</v>
      </c>
      <c r="I31">
        <v>14.882960000000001</v>
      </c>
      <c r="J31">
        <v>5.2650000000000002E-2</v>
      </c>
      <c r="K31">
        <v>14.90462</v>
      </c>
      <c r="L31">
        <f t="shared" si="0"/>
        <v>2.1659999999998902E-2</v>
      </c>
      <c r="M31">
        <f t="shared" si="1"/>
        <v>0.41139601139599052</v>
      </c>
      <c r="N31">
        <f t="shared" si="2"/>
        <v>2.1610632478631382E-2</v>
      </c>
      <c r="O31">
        <v>2203.8312500000002</v>
      </c>
      <c r="P31">
        <f t="shared" si="3"/>
        <v>101.97902593453252</v>
      </c>
      <c r="Q31">
        <v>3084.2662405814831</v>
      </c>
      <c r="R31" t="s">
        <v>2</v>
      </c>
      <c r="S31">
        <v>3.36</v>
      </c>
      <c r="T31">
        <v>45.15</v>
      </c>
      <c r="U31" s="12">
        <v>29158.1</v>
      </c>
      <c r="V31">
        <v>57</v>
      </c>
      <c r="W31" s="12">
        <v>29158.065989999985</v>
      </c>
      <c r="X31">
        <v>57</v>
      </c>
      <c r="Y31">
        <v>96</v>
      </c>
      <c r="Z31">
        <v>5810.5537100000001</v>
      </c>
      <c r="AA31">
        <v>0</v>
      </c>
    </row>
    <row r="32" spans="1:27" x14ac:dyDescent="0.2">
      <c r="A32">
        <v>99</v>
      </c>
      <c r="B32" t="s">
        <v>29</v>
      </c>
      <c r="C32" t="s">
        <v>37</v>
      </c>
      <c r="D32" t="s">
        <v>27</v>
      </c>
      <c r="E32">
        <v>2</v>
      </c>
      <c r="F32" t="s">
        <v>40</v>
      </c>
      <c r="G32" t="s">
        <v>34</v>
      </c>
      <c r="H32">
        <v>5.1369999999999999E-2</v>
      </c>
      <c r="I32">
        <v>14.89465</v>
      </c>
      <c r="J32">
        <v>5.049E-2</v>
      </c>
      <c r="K32">
        <v>14.915660000000001</v>
      </c>
      <c r="L32">
        <f t="shared" si="0"/>
        <v>2.1010000000000417E-2</v>
      </c>
      <c r="M32">
        <f t="shared" si="1"/>
        <v>0.41612200435730673</v>
      </c>
      <c r="N32">
        <f t="shared" si="2"/>
        <v>2.1376187363834846E-2</v>
      </c>
      <c r="O32">
        <v>2296.0974999999999</v>
      </c>
      <c r="P32">
        <f t="shared" si="3"/>
        <v>107.41379933283315</v>
      </c>
      <c r="Q32">
        <v>3166.9684745028849</v>
      </c>
      <c r="R32" t="s">
        <v>2</v>
      </c>
      <c r="S32">
        <v>2.5299999999999998</v>
      </c>
      <c r="T32">
        <v>44.96</v>
      </c>
      <c r="U32" s="12">
        <v>25709.4</v>
      </c>
      <c r="V32">
        <v>73</v>
      </c>
      <c r="W32" s="12">
        <v>25709.422979999999</v>
      </c>
      <c r="X32">
        <v>73</v>
      </c>
      <c r="Y32">
        <v>99</v>
      </c>
      <c r="Z32">
        <v>138.02970999999999</v>
      </c>
      <c r="AA32">
        <v>0</v>
      </c>
    </row>
    <row r="33" spans="1:27" x14ac:dyDescent="0.2">
      <c r="A33">
        <v>100</v>
      </c>
      <c r="B33" t="s">
        <v>29</v>
      </c>
      <c r="C33" t="s">
        <v>30</v>
      </c>
      <c r="D33" t="s">
        <v>27</v>
      </c>
      <c r="E33">
        <v>2</v>
      </c>
      <c r="F33" t="s">
        <v>40</v>
      </c>
      <c r="G33" t="s">
        <v>28</v>
      </c>
      <c r="H33">
        <v>5.0630000000000001E-2</v>
      </c>
      <c r="I33">
        <v>14.84859</v>
      </c>
      <c r="J33">
        <v>5.1180000000000003E-2</v>
      </c>
      <c r="K33">
        <v>14.86745</v>
      </c>
      <c r="L33">
        <f t="shared" si="0"/>
        <v>1.8860000000000099E-2</v>
      </c>
      <c r="M33">
        <f t="shared" si="1"/>
        <v>0.36850332161000582</v>
      </c>
      <c r="N33">
        <f t="shared" si="2"/>
        <v>1.8657323173114596E-2</v>
      </c>
      <c r="O33">
        <v>3894.5487499999999</v>
      </c>
      <c r="P33">
        <f t="shared" si="3"/>
        <v>208.74102430792894</v>
      </c>
      <c r="Q33">
        <v>16365.537880253478</v>
      </c>
      <c r="R33" t="s">
        <v>3</v>
      </c>
      <c r="S33">
        <v>3.73</v>
      </c>
      <c r="T33">
        <v>45.21</v>
      </c>
      <c r="U33" s="12">
        <v>44892.9</v>
      </c>
      <c r="V33">
        <v>77</v>
      </c>
      <c r="W33" s="12">
        <v>44892.852020000006</v>
      </c>
      <c r="X33">
        <v>77</v>
      </c>
      <c r="Y33">
        <v>100</v>
      </c>
      <c r="Z33">
        <v>9592.5859400000008</v>
      </c>
      <c r="AA33">
        <v>716.89721999999995</v>
      </c>
    </row>
    <row r="34" spans="1:27" x14ac:dyDescent="0.2">
      <c r="A34">
        <v>101</v>
      </c>
      <c r="B34" t="s">
        <v>35</v>
      </c>
      <c r="C34" t="s">
        <v>45</v>
      </c>
      <c r="D34" t="s">
        <v>27</v>
      </c>
      <c r="E34">
        <v>1</v>
      </c>
      <c r="F34" t="s">
        <v>40</v>
      </c>
      <c r="G34" t="s">
        <v>28</v>
      </c>
      <c r="H34">
        <v>4.9430000000000002E-2</v>
      </c>
      <c r="I34">
        <v>14.947089999999999</v>
      </c>
      <c r="J34">
        <v>4.863E-2</v>
      </c>
      <c r="K34">
        <v>14.96904</v>
      </c>
      <c r="L34">
        <f t="shared" ref="L34:L65" si="4">K34-I34</f>
        <v>2.1950000000000358E-2</v>
      </c>
      <c r="M34">
        <f t="shared" ref="M34:M65" si="5">L34/J34</f>
        <v>0.4513674686407641</v>
      </c>
      <c r="N34">
        <f t="shared" ref="N34:N65" si="6">M34*H34</f>
        <v>2.231109397491297E-2</v>
      </c>
      <c r="O34">
        <v>3666.3337499999998</v>
      </c>
      <c r="P34">
        <f t="shared" si="3"/>
        <v>164.32783413141897</v>
      </c>
      <c r="Q34">
        <v>8805.1345863059323</v>
      </c>
      <c r="R34" t="s">
        <v>3</v>
      </c>
      <c r="S34">
        <v>3.65</v>
      </c>
      <c r="T34">
        <v>45.7</v>
      </c>
      <c r="U34" s="12">
        <v>35972.5</v>
      </c>
      <c r="V34">
        <v>81</v>
      </c>
      <c r="W34" s="12">
        <v>35957.069359999987</v>
      </c>
      <c r="X34">
        <v>79</v>
      </c>
      <c r="Y34">
        <v>101</v>
      </c>
      <c r="Z34" s="9">
        <v>2897.2810100000002</v>
      </c>
      <c r="AA34">
        <v>1130.29883</v>
      </c>
    </row>
    <row r="35" spans="1:27" x14ac:dyDescent="0.2">
      <c r="A35">
        <v>102</v>
      </c>
      <c r="B35" t="s">
        <v>25</v>
      </c>
      <c r="C35" t="s">
        <v>45</v>
      </c>
      <c r="D35" t="s">
        <v>33</v>
      </c>
      <c r="E35">
        <v>5</v>
      </c>
      <c r="F35" t="s">
        <v>40</v>
      </c>
      <c r="G35" t="s">
        <v>34</v>
      </c>
      <c r="H35">
        <v>5.1670000000000001E-2</v>
      </c>
      <c r="I35">
        <v>14.8515</v>
      </c>
      <c r="J35">
        <v>5.0770000000000003E-2</v>
      </c>
      <c r="K35">
        <v>14.876620000000001</v>
      </c>
      <c r="L35">
        <f t="shared" si="4"/>
        <v>2.5120000000001141E-2</v>
      </c>
      <c r="M35">
        <f t="shared" si="5"/>
        <v>0.49478038211544495</v>
      </c>
      <c r="N35">
        <f t="shared" si="6"/>
        <v>2.5565302343905041E-2</v>
      </c>
      <c r="O35">
        <v>3106.7250000000004</v>
      </c>
      <c r="P35">
        <f t="shared" si="3"/>
        <v>121.52115231059126</v>
      </c>
      <c r="Q35">
        <v>26051.563749458812</v>
      </c>
      <c r="R35" t="s">
        <v>3</v>
      </c>
      <c r="S35">
        <v>2.48</v>
      </c>
      <c r="T35">
        <v>47.15</v>
      </c>
      <c r="U35" s="12">
        <v>31616.6</v>
      </c>
      <c r="V35">
        <v>59</v>
      </c>
      <c r="W35" s="12">
        <v>31610.032579999999</v>
      </c>
      <c r="X35">
        <v>58</v>
      </c>
      <c r="Y35">
        <v>102</v>
      </c>
      <c r="Z35">
        <v>6327.1264600000004</v>
      </c>
      <c r="AA35">
        <v>0</v>
      </c>
    </row>
    <row r="36" spans="1:27" x14ac:dyDescent="0.2">
      <c r="A36">
        <v>103</v>
      </c>
      <c r="B36" t="s">
        <v>35</v>
      </c>
      <c r="C36" t="s">
        <v>26</v>
      </c>
      <c r="D36" t="s">
        <v>27</v>
      </c>
      <c r="E36">
        <v>2</v>
      </c>
      <c r="G36" t="s">
        <v>28</v>
      </c>
      <c r="H36">
        <v>4.9320000000000003E-2</v>
      </c>
      <c r="I36">
        <v>14.894259999999999</v>
      </c>
      <c r="J36">
        <v>5.1310000000000001E-2</v>
      </c>
      <c r="K36">
        <v>14.92018</v>
      </c>
      <c r="L36">
        <f t="shared" si="4"/>
        <v>2.5920000000001053E-2</v>
      </c>
      <c r="M36">
        <f t="shared" si="5"/>
        <v>0.50516468524656111</v>
      </c>
      <c r="N36">
        <f t="shared" si="6"/>
        <v>2.4914722276360397E-2</v>
      </c>
      <c r="O36">
        <v>3454.1525000000001</v>
      </c>
      <c r="P36">
        <f t="shared" si="3"/>
        <v>138.63901277668953</v>
      </c>
      <c r="Q36">
        <v>2275.9309699281694</v>
      </c>
      <c r="R36" t="s">
        <v>2</v>
      </c>
      <c r="S36">
        <v>3.56</v>
      </c>
      <c r="T36">
        <v>45.51</v>
      </c>
      <c r="U36" s="12">
        <v>29197.4</v>
      </c>
      <c r="V36">
        <v>76</v>
      </c>
      <c r="W36" s="12">
        <v>29192.589150000007</v>
      </c>
      <c r="X36">
        <v>75</v>
      </c>
      <c r="Y36">
        <v>103</v>
      </c>
      <c r="Z36">
        <v>2776.1347700000001</v>
      </c>
      <c r="AA36">
        <v>1236.6602800000001</v>
      </c>
    </row>
    <row r="37" spans="1:27" x14ac:dyDescent="0.2">
      <c r="A37">
        <v>105</v>
      </c>
      <c r="B37" t="s">
        <v>29</v>
      </c>
      <c r="C37" t="s">
        <v>26</v>
      </c>
      <c r="D37" t="s">
        <v>33</v>
      </c>
      <c r="E37">
        <v>1</v>
      </c>
      <c r="G37" t="s">
        <v>28</v>
      </c>
      <c r="H37">
        <v>5.0459999999999998E-2</v>
      </c>
      <c r="I37">
        <v>14.94678</v>
      </c>
      <c r="J37">
        <v>5.1270000000000003E-2</v>
      </c>
      <c r="K37">
        <v>14.97186</v>
      </c>
      <c r="L37">
        <f t="shared" si="4"/>
        <v>2.5079999999999103E-2</v>
      </c>
      <c r="M37">
        <f t="shared" si="5"/>
        <v>0.48917495611466943</v>
      </c>
      <c r="N37">
        <f t="shared" si="6"/>
        <v>2.468376828554622E-2</v>
      </c>
      <c r="O37">
        <v>3390.9137500000002</v>
      </c>
      <c r="P37">
        <f t="shared" si="3"/>
        <v>137.37423357622333</v>
      </c>
      <c r="Q37">
        <v>2242.6251952931575</v>
      </c>
      <c r="R37" t="s">
        <v>2</v>
      </c>
      <c r="S37">
        <v>4.16</v>
      </c>
      <c r="T37">
        <v>45.94</v>
      </c>
      <c r="U37" s="12">
        <v>29156.5</v>
      </c>
      <c r="V37">
        <v>69</v>
      </c>
      <c r="W37" s="12">
        <v>29156.456259999988</v>
      </c>
      <c r="X37">
        <v>69</v>
      </c>
      <c r="Y37">
        <v>105</v>
      </c>
      <c r="Z37">
        <v>2711.1589399999998</v>
      </c>
      <c r="AA37">
        <v>1014.24963</v>
      </c>
    </row>
    <row r="38" spans="1:27" x14ac:dyDescent="0.2">
      <c r="A38">
        <v>111</v>
      </c>
      <c r="B38" t="s">
        <v>25</v>
      </c>
      <c r="C38" t="s">
        <v>45</v>
      </c>
      <c r="D38" t="s">
        <v>33</v>
      </c>
      <c r="E38">
        <v>3</v>
      </c>
      <c r="G38" t="s">
        <v>34</v>
      </c>
      <c r="H38">
        <v>5.0909999999999997E-2</v>
      </c>
      <c r="I38">
        <v>14.900130000000001</v>
      </c>
      <c r="J38">
        <v>5.1229999999999998E-2</v>
      </c>
      <c r="K38">
        <v>14.9244</v>
      </c>
      <c r="L38">
        <f t="shared" si="4"/>
        <v>2.426999999999957E-2</v>
      </c>
      <c r="M38">
        <f t="shared" si="5"/>
        <v>0.47374585203981207</v>
      </c>
      <c r="N38">
        <f t="shared" si="6"/>
        <v>2.4118401327346831E-2</v>
      </c>
      <c r="O38">
        <v>2757.2162500000004</v>
      </c>
      <c r="P38">
        <f t="shared" si="3"/>
        <v>114.32002530257716</v>
      </c>
      <c r="Q38">
        <v>620.09128180004541</v>
      </c>
      <c r="R38" t="s">
        <v>2</v>
      </c>
      <c r="S38">
        <v>3.85</v>
      </c>
      <c r="T38">
        <v>46.5</v>
      </c>
      <c r="U38" s="12">
        <v>28142</v>
      </c>
      <c r="V38">
        <v>52</v>
      </c>
      <c r="W38" s="12">
        <v>28142</v>
      </c>
      <c r="X38">
        <v>52</v>
      </c>
      <c r="Y38">
        <v>111</v>
      </c>
      <c r="Z38">
        <v>6390.0664100000004</v>
      </c>
      <c r="AA38">
        <v>495.02096999999998</v>
      </c>
    </row>
    <row r="39" spans="1:27" x14ac:dyDescent="0.2">
      <c r="A39">
        <v>113</v>
      </c>
      <c r="B39" t="s">
        <v>29</v>
      </c>
      <c r="C39" t="s">
        <v>37</v>
      </c>
      <c r="D39" t="s">
        <v>27</v>
      </c>
      <c r="E39">
        <v>1</v>
      </c>
      <c r="F39" t="s">
        <v>40</v>
      </c>
      <c r="G39" t="s">
        <v>28</v>
      </c>
      <c r="H39">
        <v>4.965E-2</v>
      </c>
      <c r="I39">
        <v>15.05861</v>
      </c>
      <c r="J39">
        <v>4.9399999999999999E-2</v>
      </c>
      <c r="K39">
        <v>15.076779999999999</v>
      </c>
      <c r="L39">
        <f t="shared" si="4"/>
        <v>1.8169999999999575E-2</v>
      </c>
      <c r="M39">
        <f t="shared" si="5"/>
        <v>0.36781376518217762</v>
      </c>
      <c r="N39">
        <f t="shared" si="6"/>
        <v>1.8261953441295119E-2</v>
      </c>
      <c r="O39">
        <v>2570.1475</v>
      </c>
      <c r="P39">
        <f t="shared" si="3"/>
        <v>140.73781910911103</v>
      </c>
      <c r="Q39">
        <v>11213.114621179146</v>
      </c>
      <c r="R39" t="s">
        <v>3</v>
      </c>
      <c r="S39">
        <v>3.12</v>
      </c>
      <c r="T39">
        <v>44.84</v>
      </c>
      <c r="U39" s="12">
        <v>17904.8</v>
      </c>
      <c r="V39">
        <v>78</v>
      </c>
      <c r="W39" s="12">
        <v>17894.339520000001</v>
      </c>
      <c r="X39">
        <v>76</v>
      </c>
      <c r="Y39">
        <v>113</v>
      </c>
      <c r="Z39">
        <v>1555.4023400000001</v>
      </c>
      <c r="AA39">
        <v>1148.6024199999999</v>
      </c>
    </row>
    <row r="40" spans="1:27" x14ac:dyDescent="0.2">
      <c r="A40">
        <v>120</v>
      </c>
      <c r="B40" t="s">
        <v>25</v>
      </c>
      <c r="C40" t="s">
        <v>45</v>
      </c>
      <c r="D40" t="s">
        <v>33</v>
      </c>
      <c r="E40">
        <v>2</v>
      </c>
      <c r="F40" t="s">
        <v>40</v>
      </c>
      <c r="G40" t="s">
        <v>39</v>
      </c>
      <c r="H40">
        <v>0.51270000000000004</v>
      </c>
      <c r="I40">
        <v>14.80885</v>
      </c>
      <c r="J40">
        <v>4.9799999999999997E-2</v>
      </c>
      <c r="K40">
        <v>14.830880000000001</v>
      </c>
      <c r="L40">
        <f t="shared" si="4"/>
        <v>2.2030000000000882E-2</v>
      </c>
      <c r="M40">
        <f t="shared" si="5"/>
        <v>0.44236947791166431</v>
      </c>
      <c r="N40">
        <f t="shared" si="6"/>
        <v>0.22680283132531032</v>
      </c>
      <c r="O40">
        <v>2331.7137499999999</v>
      </c>
      <c r="P40">
        <f t="shared" si="3"/>
        <v>10.280796480250068</v>
      </c>
      <c r="Q40">
        <v>11273.79151709617</v>
      </c>
      <c r="R40" t="s">
        <v>3</v>
      </c>
      <c r="S40">
        <v>2.95</v>
      </c>
      <c r="T40">
        <v>46.09</v>
      </c>
      <c r="U40" s="12">
        <v>19629.5</v>
      </c>
      <c r="V40">
        <v>64</v>
      </c>
      <c r="W40" s="12">
        <v>19609.318090000001</v>
      </c>
      <c r="X40">
        <v>62</v>
      </c>
      <c r="Y40">
        <v>120</v>
      </c>
      <c r="Z40">
        <v>2868.6872600000002</v>
      </c>
      <c r="AA40">
        <v>0</v>
      </c>
    </row>
    <row r="41" spans="1:27" x14ac:dyDescent="0.2">
      <c r="A41">
        <v>121</v>
      </c>
      <c r="B41" t="s">
        <v>25</v>
      </c>
      <c r="C41" t="s">
        <v>42</v>
      </c>
      <c r="D41" t="s">
        <v>33</v>
      </c>
      <c r="E41">
        <v>2</v>
      </c>
      <c r="F41" t="s">
        <v>40</v>
      </c>
      <c r="G41" t="s">
        <v>31</v>
      </c>
      <c r="H41">
        <v>5.2069999999999998E-2</v>
      </c>
      <c r="I41">
        <v>14.88749</v>
      </c>
      <c r="J41">
        <v>4.972E-2</v>
      </c>
      <c r="K41">
        <v>14.90798</v>
      </c>
      <c r="L41">
        <f t="shared" si="4"/>
        <v>2.0490000000000563E-2</v>
      </c>
      <c r="M41">
        <f t="shared" si="5"/>
        <v>0.41210780370073541</v>
      </c>
      <c r="N41">
        <f t="shared" si="6"/>
        <v>2.1458453338697291E-2</v>
      </c>
      <c r="O41">
        <v>2807.5074999999997</v>
      </c>
      <c r="P41">
        <f t="shared" si="3"/>
        <v>130.8345692807718</v>
      </c>
      <c r="Q41">
        <v>17318.637401092208</v>
      </c>
      <c r="R41" t="s">
        <v>3</v>
      </c>
      <c r="S41">
        <v>2.2200000000000002</v>
      </c>
      <c r="T41">
        <v>44.37</v>
      </c>
      <c r="U41" s="12">
        <v>39367.300000000003</v>
      </c>
      <c r="V41">
        <v>68</v>
      </c>
      <c r="W41" s="12">
        <v>39367.300000000003</v>
      </c>
      <c r="X41">
        <v>68</v>
      </c>
      <c r="Y41">
        <v>121</v>
      </c>
      <c r="Z41">
        <v>6812.8584000000001</v>
      </c>
      <c r="AA41">
        <v>0</v>
      </c>
    </row>
    <row r="42" spans="1:27" x14ac:dyDescent="0.2">
      <c r="A42">
        <v>122</v>
      </c>
      <c r="B42" t="s">
        <v>29</v>
      </c>
      <c r="C42" t="s">
        <v>32</v>
      </c>
      <c r="D42" t="s">
        <v>33</v>
      </c>
      <c r="E42">
        <v>2</v>
      </c>
      <c r="G42" t="s">
        <v>28</v>
      </c>
      <c r="H42">
        <v>5.0750000000000003E-2</v>
      </c>
      <c r="I42">
        <v>14.91334</v>
      </c>
      <c r="J42">
        <v>5.1639999999999998E-2</v>
      </c>
      <c r="K42">
        <v>14.93243</v>
      </c>
      <c r="L42">
        <f t="shared" si="4"/>
        <v>1.9090000000000273E-2</v>
      </c>
      <c r="M42">
        <f t="shared" si="5"/>
        <v>0.36967467079783645</v>
      </c>
      <c r="N42">
        <f t="shared" si="6"/>
        <v>1.87609895429902E-2</v>
      </c>
      <c r="O42">
        <v>2295.9087499999996</v>
      </c>
      <c r="P42">
        <f t="shared" si="3"/>
        <v>122.37674056259128</v>
      </c>
      <c r="Q42">
        <v>42891.191447162062</v>
      </c>
      <c r="R42" t="s">
        <v>3</v>
      </c>
      <c r="S42">
        <v>3.28</v>
      </c>
      <c r="T42">
        <v>42.81</v>
      </c>
      <c r="U42" s="12">
        <v>34388.300000000003</v>
      </c>
      <c r="V42">
        <v>78</v>
      </c>
      <c r="W42" s="12">
        <v>34388.300000000003</v>
      </c>
      <c r="X42">
        <v>78</v>
      </c>
      <c r="Y42">
        <v>122</v>
      </c>
      <c r="Z42">
        <v>2125.6936000000001</v>
      </c>
      <c r="AA42">
        <v>2415.83203</v>
      </c>
    </row>
    <row r="43" spans="1:27" x14ac:dyDescent="0.2">
      <c r="A43">
        <v>126</v>
      </c>
      <c r="B43" t="s">
        <v>25</v>
      </c>
      <c r="C43" t="s">
        <v>42</v>
      </c>
      <c r="D43" t="s">
        <v>27</v>
      </c>
      <c r="E43">
        <v>3</v>
      </c>
      <c r="F43" t="s">
        <v>40</v>
      </c>
      <c r="G43" t="s">
        <v>39</v>
      </c>
      <c r="H43">
        <v>5.178E-2</v>
      </c>
      <c r="I43">
        <v>14.941839999999999</v>
      </c>
      <c r="J43">
        <v>5.0099999999999999E-2</v>
      </c>
      <c r="K43">
        <v>14.95603</v>
      </c>
      <c r="L43">
        <f t="shared" si="4"/>
        <v>1.4190000000001035E-2</v>
      </c>
      <c r="M43">
        <f t="shared" si="5"/>
        <v>0.28323353293415243</v>
      </c>
      <c r="N43">
        <f t="shared" si="6"/>
        <v>1.4665832335330413E-2</v>
      </c>
      <c r="O43">
        <v>2074.3450000000003</v>
      </c>
      <c r="P43">
        <f t="shared" si="3"/>
        <v>141.44065966190294</v>
      </c>
      <c r="Q43">
        <v>36751.111716164189</v>
      </c>
      <c r="R43" t="s">
        <v>3</v>
      </c>
      <c r="S43">
        <v>2.99</v>
      </c>
      <c r="T43">
        <v>45.83</v>
      </c>
      <c r="U43" s="12">
        <v>18311.400000000001</v>
      </c>
      <c r="V43">
        <v>59</v>
      </c>
      <c r="W43" s="12">
        <v>18311.400000000001</v>
      </c>
      <c r="X43">
        <v>59</v>
      </c>
      <c r="Y43">
        <v>126</v>
      </c>
      <c r="Z43">
        <v>4147.4008800000001</v>
      </c>
      <c r="AA43">
        <v>519.38342</v>
      </c>
    </row>
    <row r="44" spans="1:27" x14ac:dyDescent="0.2">
      <c r="A44">
        <v>128</v>
      </c>
      <c r="B44" t="s">
        <v>25</v>
      </c>
      <c r="C44" t="s">
        <v>42</v>
      </c>
      <c r="D44" t="s">
        <v>33</v>
      </c>
      <c r="E44">
        <v>1</v>
      </c>
      <c r="G44" t="s">
        <v>39</v>
      </c>
      <c r="H44">
        <v>5.0139999999999997E-2</v>
      </c>
      <c r="I44">
        <v>14.873379999999999</v>
      </c>
      <c r="J44">
        <v>5.0840000000000003E-2</v>
      </c>
      <c r="K44">
        <v>14.89467</v>
      </c>
      <c r="L44">
        <f t="shared" si="4"/>
        <v>2.1290000000000475E-2</v>
      </c>
      <c r="M44">
        <f t="shared" si="5"/>
        <v>0.41876475216365999</v>
      </c>
      <c r="N44">
        <f t="shared" si="6"/>
        <v>2.099686467348591E-2</v>
      </c>
      <c r="O44">
        <v>7492.2775000000001</v>
      </c>
      <c r="P44">
        <f t="shared" si="3"/>
        <v>356.82839397736274</v>
      </c>
      <c r="Q44">
        <v>2947.9931262901027</v>
      </c>
      <c r="R44" t="s">
        <v>2</v>
      </c>
      <c r="S44">
        <v>3.39</v>
      </c>
      <c r="T44">
        <v>44.66</v>
      </c>
      <c r="U44" s="12">
        <v>22366.799999999999</v>
      </c>
      <c r="V44">
        <v>66</v>
      </c>
      <c r="W44" s="12">
        <v>22363.245269999999</v>
      </c>
      <c r="X44">
        <v>65</v>
      </c>
      <c r="Y44">
        <v>128</v>
      </c>
      <c r="Z44">
        <v>2085.70435</v>
      </c>
      <c r="AA44">
        <v>0</v>
      </c>
    </row>
    <row r="45" spans="1:27" x14ac:dyDescent="0.2">
      <c r="A45">
        <v>130</v>
      </c>
      <c r="B45" t="s">
        <v>25</v>
      </c>
      <c r="C45" t="s">
        <v>42</v>
      </c>
      <c r="D45" t="s">
        <v>33</v>
      </c>
      <c r="E45">
        <v>1</v>
      </c>
      <c r="G45" t="s">
        <v>28</v>
      </c>
      <c r="H45">
        <v>4.9829999999999999E-2</v>
      </c>
      <c r="I45">
        <v>14.97583</v>
      </c>
      <c r="J45">
        <v>5.108E-2</v>
      </c>
      <c r="K45">
        <v>14.99639</v>
      </c>
      <c r="L45">
        <f t="shared" si="4"/>
        <v>2.055999999999969E-2</v>
      </c>
      <c r="M45">
        <f t="shared" si="5"/>
        <v>0.40250587314016623</v>
      </c>
      <c r="N45">
        <f t="shared" si="6"/>
        <v>2.0056867658574482E-2</v>
      </c>
      <c r="O45">
        <v>5010.4925000000003</v>
      </c>
      <c r="P45">
        <f t="shared" si="3"/>
        <v>249.81430726337632</v>
      </c>
      <c r="Q45">
        <v>2213.7505496550416</v>
      </c>
      <c r="R45" t="s">
        <v>2</v>
      </c>
      <c r="S45">
        <v>3.78</v>
      </c>
      <c r="T45">
        <v>44.39</v>
      </c>
      <c r="U45" s="12">
        <v>9403.2999999999993</v>
      </c>
      <c r="V45">
        <v>64</v>
      </c>
      <c r="W45" s="12">
        <v>9390.7544499999985</v>
      </c>
      <c r="X45">
        <v>62</v>
      </c>
      <c r="Y45">
        <v>130</v>
      </c>
      <c r="Z45">
        <v>733.86066000000005</v>
      </c>
      <c r="AA45">
        <v>0</v>
      </c>
    </row>
    <row r="46" spans="1:27" x14ac:dyDescent="0.2">
      <c r="A46">
        <v>131</v>
      </c>
      <c r="B46" t="s">
        <v>25</v>
      </c>
      <c r="C46" t="s">
        <v>46</v>
      </c>
      <c r="D46" t="s">
        <v>27</v>
      </c>
      <c r="E46">
        <v>2</v>
      </c>
      <c r="G46" t="s">
        <v>31</v>
      </c>
      <c r="H46">
        <v>5.0880000000000002E-2</v>
      </c>
      <c r="I46">
        <v>15.017250000000001</v>
      </c>
      <c r="J46">
        <v>5.2490000000000002E-2</v>
      </c>
      <c r="K46">
        <v>15.0389</v>
      </c>
      <c r="L46">
        <f t="shared" si="4"/>
        <v>2.1649999999999281E-2</v>
      </c>
      <c r="M46">
        <f t="shared" si="5"/>
        <v>0.41245951609829073</v>
      </c>
      <c r="N46">
        <f t="shared" si="6"/>
        <v>2.0985940179081033E-2</v>
      </c>
      <c r="O46">
        <v>2213.6712499999999</v>
      </c>
      <c r="P46">
        <f t="shared" si="3"/>
        <v>105.48353950835173</v>
      </c>
      <c r="Q46">
        <v>2313.7922680627848</v>
      </c>
      <c r="R46" t="s">
        <v>2</v>
      </c>
      <c r="S46">
        <v>4.09</v>
      </c>
      <c r="T46">
        <v>44.77</v>
      </c>
      <c r="U46" s="12">
        <v>22773.8</v>
      </c>
      <c r="V46">
        <v>64</v>
      </c>
      <c r="W46" s="12">
        <v>22733.652389999999</v>
      </c>
      <c r="X46">
        <v>63</v>
      </c>
      <c r="Y46">
        <v>131</v>
      </c>
      <c r="Z46">
        <v>1105.3720699999999</v>
      </c>
      <c r="AA46" s="9">
        <v>0</v>
      </c>
    </row>
    <row r="47" spans="1:27" x14ac:dyDescent="0.2">
      <c r="A47">
        <v>132</v>
      </c>
      <c r="B47" t="s">
        <v>25</v>
      </c>
      <c r="C47" t="s">
        <v>42</v>
      </c>
      <c r="D47" t="s">
        <v>27</v>
      </c>
      <c r="E47">
        <v>4</v>
      </c>
      <c r="G47" t="s">
        <v>28</v>
      </c>
      <c r="H47">
        <v>4.9549999999999997E-2</v>
      </c>
      <c r="I47">
        <v>14.963649999999999</v>
      </c>
      <c r="J47">
        <v>5.0229999999999997E-2</v>
      </c>
      <c r="K47">
        <v>14.983420000000001</v>
      </c>
      <c r="L47">
        <f t="shared" si="4"/>
        <v>1.9770000000001176E-2</v>
      </c>
      <c r="M47">
        <f t="shared" si="5"/>
        <v>0.39358948835359697</v>
      </c>
      <c r="N47">
        <f t="shared" si="6"/>
        <v>1.9502359147920728E-2</v>
      </c>
      <c r="O47">
        <v>1705.3862500000002</v>
      </c>
      <c r="P47">
        <f t="shared" si="3"/>
        <v>87.445125846829797</v>
      </c>
      <c r="Q47">
        <v>3320.6100544728383</v>
      </c>
      <c r="R47" t="s">
        <v>2</v>
      </c>
      <c r="S47">
        <v>2.13</v>
      </c>
      <c r="T47">
        <v>42.57</v>
      </c>
      <c r="U47" s="12">
        <v>28315.7</v>
      </c>
      <c r="V47">
        <v>66</v>
      </c>
      <c r="W47" s="12">
        <v>28298.180790000002</v>
      </c>
      <c r="X47">
        <v>65</v>
      </c>
      <c r="Y47">
        <v>132</v>
      </c>
      <c r="Z47" s="14">
        <v>5643.8579099999997</v>
      </c>
      <c r="AA47">
        <v>0</v>
      </c>
    </row>
    <row r="48" spans="1:27" x14ac:dyDescent="0.2">
      <c r="A48">
        <v>135</v>
      </c>
      <c r="B48" t="s">
        <v>35</v>
      </c>
      <c r="C48" t="s">
        <v>30</v>
      </c>
      <c r="D48" t="s">
        <v>27</v>
      </c>
      <c r="E48">
        <v>1</v>
      </c>
      <c r="F48" t="s">
        <v>40</v>
      </c>
      <c r="G48" t="s">
        <v>31</v>
      </c>
      <c r="H48">
        <v>5.2540000000000003E-2</v>
      </c>
      <c r="I48">
        <v>14.822570000000001</v>
      </c>
      <c r="J48">
        <v>5.1979999999999998E-2</v>
      </c>
      <c r="K48">
        <v>14.84192</v>
      </c>
      <c r="L48">
        <f t="shared" si="4"/>
        <v>1.9349999999999312E-2</v>
      </c>
      <c r="M48">
        <f t="shared" si="5"/>
        <v>0.372258560984981</v>
      </c>
      <c r="N48">
        <f t="shared" si="6"/>
        <v>1.9558464794150902E-2</v>
      </c>
      <c r="O48">
        <v>2320.5875000000001</v>
      </c>
      <c r="P48">
        <f t="shared" si="3"/>
        <v>118.64875512591297</v>
      </c>
      <c r="Q48">
        <v>34834.287537431745</v>
      </c>
      <c r="R48" t="s">
        <v>3</v>
      </c>
      <c r="S48">
        <v>3.84</v>
      </c>
      <c r="T48">
        <v>44.25</v>
      </c>
      <c r="U48" s="12">
        <v>30943.200000000001</v>
      </c>
      <c r="V48">
        <v>67</v>
      </c>
      <c r="W48" s="12">
        <v>30928.734949999995</v>
      </c>
      <c r="X48">
        <v>65</v>
      </c>
      <c r="Y48">
        <v>135</v>
      </c>
      <c r="Z48">
        <v>5767.4150399999999</v>
      </c>
      <c r="AA48">
        <v>0</v>
      </c>
    </row>
    <row r="49" spans="1:27" x14ac:dyDescent="0.2">
      <c r="A49">
        <v>138</v>
      </c>
      <c r="B49" t="s">
        <v>35</v>
      </c>
      <c r="C49" t="s">
        <v>46</v>
      </c>
      <c r="D49" t="s">
        <v>27</v>
      </c>
      <c r="E49">
        <v>1</v>
      </c>
      <c r="G49" t="s">
        <v>39</v>
      </c>
      <c r="H49">
        <v>5.0430000000000003E-2</v>
      </c>
      <c r="I49">
        <v>14.915900000000001</v>
      </c>
      <c r="J49">
        <v>4.981E-2</v>
      </c>
      <c r="K49">
        <v>14.938549999999999</v>
      </c>
      <c r="L49">
        <f t="shared" si="4"/>
        <v>2.2649999999998727E-2</v>
      </c>
      <c r="M49">
        <f t="shared" si="5"/>
        <v>0.45472796627180739</v>
      </c>
      <c r="N49">
        <f t="shared" si="6"/>
        <v>2.2931931339087247E-2</v>
      </c>
      <c r="O49">
        <v>3033.6737500000004</v>
      </c>
      <c r="P49">
        <f t="shared" si="3"/>
        <v>132.29037298001734</v>
      </c>
      <c r="Q49">
        <v>11518.688005445649</v>
      </c>
      <c r="R49" t="s">
        <v>3</v>
      </c>
      <c r="S49">
        <v>3.92</v>
      </c>
      <c r="T49">
        <v>44.14</v>
      </c>
      <c r="U49" s="12">
        <v>39623.5</v>
      </c>
      <c r="V49">
        <v>70</v>
      </c>
      <c r="W49" s="12">
        <v>39605.473590000001</v>
      </c>
      <c r="X49">
        <v>68</v>
      </c>
      <c r="Y49">
        <v>138</v>
      </c>
      <c r="Z49">
        <v>5535.2690400000001</v>
      </c>
      <c r="AA49">
        <v>0</v>
      </c>
    </row>
    <row r="50" spans="1:27" x14ac:dyDescent="0.2">
      <c r="A50">
        <v>141</v>
      </c>
      <c r="B50" t="s">
        <v>29</v>
      </c>
      <c r="C50" t="s">
        <v>32</v>
      </c>
      <c r="D50" t="s">
        <v>33</v>
      </c>
      <c r="E50">
        <v>1</v>
      </c>
      <c r="F50" t="s">
        <v>40</v>
      </c>
      <c r="G50" t="s">
        <v>34</v>
      </c>
      <c r="H50">
        <v>5.0680000000000003E-2</v>
      </c>
      <c r="I50">
        <v>14.953250000000001</v>
      </c>
      <c r="J50">
        <v>5.049E-2</v>
      </c>
      <c r="K50">
        <v>14.97133</v>
      </c>
      <c r="L50">
        <f t="shared" si="4"/>
        <v>1.807999999999943E-2</v>
      </c>
      <c r="M50">
        <f t="shared" si="5"/>
        <v>0.35809071103187623</v>
      </c>
      <c r="N50">
        <f t="shared" si="6"/>
        <v>1.8148037235095487E-2</v>
      </c>
      <c r="O50">
        <v>2379.6087499999999</v>
      </c>
      <c r="P50">
        <f t="shared" si="3"/>
        <v>131.12209982676288</v>
      </c>
      <c r="Q50">
        <v>2554.3250711264609</v>
      </c>
      <c r="R50" t="s">
        <v>2</v>
      </c>
      <c r="S50">
        <v>4.22</v>
      </c>
      <c r="T50">
        <v>43.42</v>
      </c>
      <c r="U50" s="12">
        <v>32909.599999999999</v>
      </c>
      <c r="V50">
        <v>76</v>
      </c>
      <c r="W50" s="12">
        <v>32875.60972</v>
      </c>
      <c r="X50">
        <v>75</v>
      </c>
      <c r="Y50">
        <v>141</v>
      </c>
      <c r="Z50" s="14">
        <v>2633.8002900000001</v>
      </c>
      <c r="AA50">
        <v>0</v>
      </c>
    </row>
    <row r="51" spans="1:27" x14ac:dyDescent="0.2">
      <c r="A51">
        <v>147</v>
      </c>
      <c r="B51" t="s">
        <v>29</v>
      </c>
      <c r="C51" t="s">
        <v>48</v>
      </c>
      <c r="D51" t="s">
        <v>33</v>
      </c>
      <c r="E51">
        <v>1</v>
      </c>
      <c r="F51" t="s">
        <v>49</v>
      </c>
      <c r="G51" t="s">
        <v>39</v>
      </c>
      <c r="H51">
        <v>5.0990000000000001E-2</v>
      </c>
      <c r="I51">
        <v>14.849489999999999</v>
      </c>
      <c r="J51">
        <v>5.0500000000000003E-2</v>
      </c>
      <c r="K51">
        <v>14.870189999999999</v>
      </c>
      <c r="L51">
        <f t="shared" si="4"/>
        <v>2.0699999999999719E-2</v>
      </c>
      <c r="M51">
        <f t="shared" si="5"/>
        <v>0.40990099009900433</v>
      </c>
      <c r="N51">
        <f t="shared" si="6"/>
        <v>2.0900851485148232E-2</v>
      </c>
      <c r="O51">
        <v>2324.61625</v>
      </c>
      <c r="P51">
        <f t="shared" si="3"/>
        <v>111.22112664413842</v>
      </c>
      <c r="Q51">
        <v>1511.9192278415653</v>
      </c>
      <c r="R51" t="s">
        <v>2</v>
      </c>
      <c r="S51">
        <v>2.85</v>
      </c>
      <c r="T51">
        <v>42.13</v>
      </c>
      <c r="U51" s="12">
        <v>31872.3</v>
      </c>
      <c r="V51">
        <v>72</v>
      </c>
      <c r="W51" s="12">
        <v>31867.366369999989</v>
      </c>
      <c r="X51">
        <v>71</v>
      </c>
      <c r="Y51">
        <v>147</v>
      </c>
      <c r="Z51">
        <v>1377.9853499999999</v>
      </c>
      <c r="AA51">
        <v>829.57610999999997</v>
      </c>
    </row>
    <row r="52" spans="1:27" x14ac:dyDescent="0.2">
      <c r="A52">
        <v>150</v>
      </c>
      <c r="B52" t="s">
        <v>25</v>
      </c>
      <c r="C52" t="s">
        <v>48</v>
      </c>
      <c r="D52" t="s">
        <v>33</v>
      </c>
      <c r="E52">
        <v>2</v>
      </c>
      <c r="F52" t="s">
        <v>40</v>
      </c>
      <c r="G52" t="s">
        <v>28</v>
      </c>
      <c r="H52">
        <v>5.1400000000000001E-2</v>
      </c>
      <c r="I52">
        <v>14.882910000000001</v>
      </c>
      <c r="J52">
        <v>4.9200000000000001E-2</v>
      </c>
      <c r="K52">
        <v>14.90502</v>
      </c>
      <c r="L52">
        <f t="shared" si="4"/>
        <v>2.210999999999963E-2</v>
      </c>
      <c r="M52">
        <f t="shared" si="5"/>
        <v>0.44939024390243149</v>
      </c>
      <c r="N52">
        <f t="shared" si="6"/>
        <v>2.3098658536584979E-2</v>
      </c>
      <c r="O52">
        <v>2265.4812500000003</v>
      </c>
      <c r="P52">
        <f t="shared" si="3"/>
        <v>98.078476999510642</v>
      </c>
      <c r="Q52">
        <v>1400.1256783963138</v>
      </c>
      <c r="R52" t="s">
        <v>2</v>
      </c>
      <c r="S52">
        <v>2.33</v>
      </c>
      <c r="T52">
        <v>41.55</v>
      </c>
      <c r="U52" s="12">
        <v>24827.8</v>
      </c>
      <c r="V52">
        <v>58</v>
      </c>
      <c r="W52" s="12">
        <v>24800.24712</v>
      </c>
      <c r="X52">
        <v>57</v>
      </c>
      <c r="Y52">
        <v>150</v>
      </c>
      <c r="Z52" s="14">
        <v>4235.0678699999999</v>
      </c>
      <c r="AA52">
        <v>0</v>
      </c>
    </row>
    <row r="53" spans="1:27" x14ac:dyDescent="0.2">
      <c r="A53">
        <v>157</v>
      </c>
      <c r="B53" t="s">
        <v>35</v>
      </c>
      <c r="C53" t="s">
        <v>26</v>
      </c>
      <c r="D53" t="s">
        <v>27</v>
      </c>
      <c r="E53">
        <v>2</v>
      </c>
      <c r="F53" t="s">
        <v>40</v>
      </c>
      <c r="G53" t="s">
        <v>31</v>
      </c>
      <c r="H53">
        <v>4.895E-2</v>
      </c>
      <c r="I53">
        <v>14.89804</v>
      </c>
      <c r="J53">
        <v>5.1139999999999998E-2</v>
      </c>
      <c r="K53">
        <v>14.92089</v>
      </c>
      <c r="L53">
        <f t="shared" si="4"/>
        <v>2.2850000000000037E-2</v>
      </c>
      <c r="M53">
        <f t="shared" si="5"/>
        <v>0.44681267109894479</v>
      </c>
      <c r="N53">
        <f t="shared" si="6"/>
        <v>2.1871480250293347E-2</v>
      </c>
      <c r="O53">
        <v>2868.3162500000003</v>
      </c>
      <c r="P53">
        <f t="shared" si="3"/>
        <v>131.14413003489005</v>
      </c>
      <c r="Q53">
        <v>39014.479362299266</v>
      </c>
      <c r="R53" t="s">
        <v>3</v>
      </c>
      <c r="S53">
        <v>3.9</v>
      </c>
      <c r="T53">
        <v>44.57</v>
      </c>
      <c r="U53" s="12">
        <v>38374.6</v>
      </c>
      <c r="V53">
        <v>80</v>
      </c>
      <c r="W53" s="12">
        <v>38369.207719999991</v>
      </c>
      <c r="X53">
        <v>79</v>
      </c>
      <c r="Y53">
        <v>157</v>
      </c>
      <c r="Z53">
        <v>4771.4907199999998</v>
      </c>
      <c r="AA53">
        <v>1258.2315699999999</v>
      </c>
    </row>
    <row r="54" spans="1:27" x14ac:dyDescent="0.2">
      <c r="A54">
        <v>158</v>
      </c>
      <c r="B54" t="s">
        <v>29</v>
      </c>
      <c r="C54" t="s">
        <v>30</v>
      </c>
      <c r="D54" t="s">
        <v>27</v>
      </c>
      <c r="E54">
        <v>2</v>
      </c>
      <c r="F54" t="s">
        <v>40</v>
      </c>
      <c r="G54" t="s">
        <v>28</v>
      </c>
      <c r="H54">
        <v>4.9590000000000002E-2</v>
      </c>
      <c r="I54">
        <v>14.91891</v>
      </c>
      <c r="J54">
        <v>5.28E-2</v>
      </c>
      <c r="K54">
        <v>14.93797</v>
      </c>
      <c r="L54">
        <f t="shared" si="4"/>
        <v>1.9059999999999633E-2</v>
      </c>
      <c r="M54">
        <f t="shared" si="5"/>
        <v>0.36098484848484153</v>
      </c>
      <c r="N54">
        <f t="shared" si="6"/>
        <v>1.7901238636363292E-2</v>
      </c>
      <c r="O54">
        <v>2226.6312499999999</v>
      </c>
      <c r="P54">
        <f t="shared" si="3"/>
        <v>124.38420017914186</v>
      </c>
      <c r="Q54">
        <v>39685.842035202906</v>
      </c>
      <c r="R54" t="s">
        <v>3</v>
      </c>
      <c r="S54">
        <v>3.25</v>
      </c>
      <c r="T54">
        <v>44.69</v>
      </c>
      <c r="U54" s="12">
        <v>63069.4</v>
      </c>
      <c r="V54">
        <v>78</v>
      </c>
      <c r="W54" s="12">
        <v>63056.816549999989</v>
      </c>
      <c r="X54">
        <v>76</v>
      </c>
      <c r="Y54">
        <v>158</v>
      </c>
      <c r="Z54">
        <v>3433.3754899999999</v>
      </c>
      <c r="AA54">
        <v>6566.4052700000002</v>
      </c>
    </row>
    <row r="55" spans="1:27" x14ac:dyDescent="0.2">
      <c r="A55">
        <v>159</v>
      </c>
      <c r="B55" t="s">
        <v>29</v>
      </c>
      <c r="C55" t="s">
        <v>43</v>
      </c>
      <c r="D55" t="s">
        <v>27</v>
      </c>
      <c r="E55">
        <v>1</v>
      </c>
      <c r="G55" t="s">
        <v>31</v>
      </c>
      <c r="H55">
        <v>5.1150000000000001E-2</v>
      </c>
      <c r="I55">
        <v>14.958830000000001</v>
      </c>
      <c r="J55">
        <v>4.9849999999999998E-2</v>
      </c>
      <c r="K55">
        <v>14.98447</v>
      </c>
      <c r="L55">
        <f t="shared" si="4"/>
        <v>2.5639999999999219E-2</v>
      </c>
      <c r="M55">
        <f t="shared" si="5"/>
        <v>0.51434302908724616</v>
      </c>
      <c r="N55">
        <f t="shared" si="6"/>
        <v>2.6308645937812642E-2</v>
      </c>
      <c r="O55">
        <v>6162.4987499999997</v>
      </c>
      <c r="P55">
        <f t="shared" si="3"/>
        <v>234.23853757303496</v>
      </c>
      <c r="Q55">
        <v>4315.7147367816224</v>
      </c>
      <c r="R55" t="s">
        <v>2</v>
      </c>
      <c r="S55">
        <v>3.59</v>
      </c>
      <c r="T55">
        <v>45.55</v>
      </c>
      <c r="U55" s="12">
        <v>27677</v>
      </c>
      <c r="V55">
        <v>72</v>
      </c>
      <c r="W55" s="12">
        <v>27660.478440000006</v>
      </c>
      <c r="X55">
        <v>71</v>
      </c>
      <c r="Y55">
        <v>159</v>
      </c>
      <c r="Z55">
        <v>4236.3339800000003</v>
      </c>
      <c r="AA55">
        <v>0</v>
      </c>
    </row>
    <row r="56" spans="1:27" x14ac:dyDescent="0.2">
      <c r="A56">
        <v>164</v>
      </c>
      <c r="B56" t="s">
        <v>29</v>
      </c>
      <c r="C56" t="s">
        <v>37</v>
      </c>
      <c r="D56" t="s">
        <v>27</v>
      </c>
      <c r="E56">
        <v>2</v>
      </c>
      <c r="G56" t="s">
        <v>31</v>
      </c>
      <c r="H56">
        <v>5.0889999999999998E-2</v>
      </c>
      <c r="I56">
        <v>14.93464</v>
      </c>
      <c r="J56">
        <v>5.0950000000000002E-2</v>
      </c>
      <c r="K56">
        <v>14.958780000000001</v>
      </c>
      <c r="L56">
        <f t="shared" si="4"/>
        <v>2.4140000000000938E-2</v>
      </c>
      <c r="M56">
        <f t="shared" si="5"/>
        <v>0.47379784102062683</v>
      </c>
      <c r="N56">
        <f t="shared" si="6"/>
        <v>2.41115721295397E-2</v>
      </c>
      <c r="O56">
        <v>3234.0262499999999</v>
      </c>
      <c r="P56">
        <f t="shared" si="3"/>
        <v>134.12755637107179</v>
      </c>
      <c r="Q56">
        <v>15932.991281348381</v>
      </c>
      <c r="R56" t="s">
        <v>3</v>
      </c>
      <c r="S56">
        <v>2.81</v>
      </c>
      <c r="T56">
        <v>44.87</v>
      </c>
      <c r="U56" s="12">
        <v>22118.2</v>
      </c>
      <c r="V56">
        <v>66</v>
      </c>
      <c r="W56" s="12">
        <v>22118.2</v>
      </c>
      <c r="X56">
        <v>66</v>
      </c>
      <c r="Y56">
        <v>164</v>
      </c>
      <c r="Z56">
        <v>403.83801</v>
      </c>
      <c r="AA56">
        <v>0</v>
      </c>
    </row>
    <row r="57" spans="1:27" x14ac:dyDescent="0.2">
      <c r="A57">
        <v>165</v>
      </c>
      <c r="B57" t="s">
        <v>35</v>
      </c>
      <c r="C57" t="s">
        <v>36</v>
      </c>
      <c r="D57" t="s">
        <v>27</v>
      </c>
      <c r="E57">
        <v>2</v>
      </c>
      <c r="F57" t="s">
        <v>40</v>
      </c>
      <c r="G57" t="s">
        <v>28</v>
      </c>
      <c r="H57">
        <v>5.2010000000000001E-2</v>
      </c>
      <c r="I57">
        <v>14.7456</v>
      </c>
      <c r="J57">
        <v>5.2109999999999997E-2</v>
      </c>
      <c r="K57">
        <v>14.76694</v>
      </c>
      <c r="L57">
        <f t="shared" si="4"/>
        <v>2.1340000000000359E-2</v>
      </c>
      <c r="M57">
        <f t="shared" si="5"/>
        <v>0.40951832661677912</v>
      </c>
      <c r="N57">
        <f t="shared" si="6"/>
        <v>2.1299048167338682E-2</v>
      </c>
      <c r="O57">
        <v>2075.64</v>
      </c>
      <c r="P57">
        <f t="shared" si="3"/>
        <v>97.45224217028246</v>
      </c>
      <c r="Q57">
        <v>817.28323443628221</v>
      </c>
      <c r="R57" t="s">
        <v>2</v>
      </c>
      <c r="S57">
        <v>3.89</v>
      </c>
      <c r="T57">
        <v>45.46</v>
      </c>
      <c r="U57" s="12">
        <v>48115.6</v>
      </c>
      <c r="V57">
        <v>72</v>
      </c>
      <c r="W57" s="12">
        <v>48106.622790000001</v>
      </c>
      <c r="X57">
        <v>71</v>
      </c>
      <c r="Y57">
        <v>165</v>
      </c>
      <c r="Z57">
        <v>11632.3</v>
      </c>
      <c r="AA57">
        <v>762.55291999999997</v>
      </c>
    </row>
    <row r="58" spans="1:27" x14ac:dyDescent="0.2">
      <c r="A58">
        <v>166</v>
      </c>
      <c r="B58" t="s">
        <v>35</v>
      </c>
      <c r="C58" t="s">
        <v>36</v>
      </c>
      <c r="D58" t="s">
        <v>27</v>
      </c>
      <c r="E58">
        <v>3</v>
      </c>
      <c r="G58" t="s">
        <v>28</v>
      </c>
      <c r="H58">
        <v>5.1429999999999997E-2</v>
      </c>
      <c r="I58">
        <v>14.92764</v>
      </c>
      <c r="J58">
        <v>5.1830000000000001E-2</v>
      </c>
      <c r="K58">
        <v>14.949450000000001</v>
      </c>
      <c r="L58">
        <f t="shared" si="4"/>
        <v>2.1810000000000329E-2</v>
      </c>
      <c r="M58">
        <f t="shared" si="5"/>
        <v>0.42079876519390946</v>
      </c>
      <c r="N58">
        <f t="shared" si="6"/>
        <v>2.1641680493922764E-2</v>
      </c>
      <c r="O58">
        <v>1973.5862500000003</v>
      </c>
      <c r="P58">
        <f t="shared" si="3"/>
        <v>91.193761526707988</v>
      </c>
      <c r="Q58">
        <v>3074.0308521290735</v>
      </c>
      <c r="R58" t="s">
        <v>2</v>
      </c>
      <c r="S58">
        <v>4.2</v>
      </c>
      <c r="T58">
        <v>43.77</v>
      </c>
      <c r="U58" s="12">
        <v>24680.1</v>
      </c>
      <c r="V58">
        <v>70</v>
      </c>
      <c r="W58" s="12">
        <v>24671.978410000007</v>
      </c>
      <c r="X58">
        <v>69</v>
      </c>
      <c r="Y58">
        <v>166</v>
      </c>
      <c r="Z58">
        <v>4843.7065400000001</v>
      </c>
      <c r="AA58">
        <v>0</v>
      </c>
    </row>
    <row r="59" spans="1:27" x14ac:dyDescent="0.2">
      <c r="A59">
        <v>169</v>
      </c>
      <c r="B59" t="s">
        <v>29</v>
      </c>
      <c r="C59" t="s">
        <v>30</v>
      </c>
      <c r="D59" t="s">
        <v>27</v>
      </c>
      <c r="E59">
        <v>2</v>
      </c>
      <c r="G59" t="s">
        <v>28</v>
      </c>
      <c r="H59">
        <v>5.1209999999999999E-2</v>
      </c>
      <c r="I59">
        <v>14.87298</v>
      </c>
      <c r="J59">
        <v>4.9279999999999997E-2</v>
      </c>
      <c r="K59">
        <v>14.892469999999999</v>
      </c>
      <c r="L59">
        <f t="shared" si="4"/>
        <v>1.9489999999999341E-2</v>
      </c>
      <c r="M59">
        <f t="shared" si="5"/>
        <v>0.39549512987011654</v>
      </c>
      <c r="N59">
        <f t="shared" si="6"/>
        <v>2.0253305600648669E-2</v>
      </c>
      <c r="O59">
        <v>3324.6949999999997</v>
      </c>
      <c r="P59">
        <f t="shared" si="3"/>
        <v>164.15567243963955</v>
      </c>
      <c r="Q59">
        <v>2558.845999407763</v>
      </c>
      <c r="R59" t="s">
        <v>2</v>
      </c>
      <c r="S59">
        <v>3.77</v>
      </c>
      <c r="T59">
        <v>44.31</v>
      </c>
      <c r="U59" s="12">
        <v>30618.7</v>
      </c>
      <c r="V59">
        <v>69</v>
      </c>
      <c r="W59" s="12">
        <v>30618.7</v>
      </c>
      <c r="X59">
        <v>69</v>
      </c>
      <c r="Y59">
        <v>169</v>
      </c>
      <c r="Z59">
        <v>1997.1908000000001</v>
      </c>
      <c r="AA59">
        <v>785.22571000000005</v>
      </c>
    </row>
    <row r="60" spans="1:27" x14ac:dyDescent="0.2">
      <c r="A60">
        <v>172</v>
      </c>
      <c r="B60" t="s">
        <v>29</v>
      </c>
      <c r="C60" t="s">
        <v>36</v>
      </c>
      <c r="D60" t="s">
        <v>33</v>
      </c>
      <c r="E60">
        <v>1</v>
      </c>
      <c r="F60" t="s">
        <v>41</v>
      </c>
      <c r="G60" t="s">
        <v>28</v>
      </c>
      <c r="H60">
        <v>5.1459999999999999E-2</v>
      </c>
      <c r="I60">
        <v>14.84965</v>
      </c>
      <c r="J60">
        <v>4.9770000000000002E-2</v>
      </c>
      <c r="K60">
        <v>14.86946</v>
      </c>
      <c r="L60">
        <f t="shared" si="4"/>
        <v>1.9809999999999661E-2</v>
      </c>
      <c r="M60">
        <f t="shared" si="5"/>
        <v>0.39803094233473296</v>
      </c>
      <c r="N60">
        <f t="shared" si="6"/>
        <v>2.0482672292545356E-2</v>
      </c>
      <c r="O60">
        <v>2167.9562500000002</v>
      </c>
      <c r="P60">
        <f t="shared" si="3"/>
        <v>105.84342799787042</v>
      </c>
      <c r="Q60">
        <v>2943.0245995954801</v>
      </c>
      <c r="R60" t="s">
        <v>2</v>
      </c>
      <c r="S60">
        <v>2.89</v>
      </c>
      <c r="T60">
        <v>44.14</v>
      </c>
      <c r="U60" s="12">
        <v>37680.699999999997</v>
      </c>
      <c r="V60">
        <v>85</v>
      </c>
      <c r="W60" s="12">
        <v>37647.562559999998</v>
      </c>
      <c r="X60">
        <v>82</v>
      </c>
      <c r="Y60">
        <v>172</v>
      </c>
      <c r="Z60">
        <v>230.45035999999999</v>
      </c>
      <c r="AA60">
        <v>770.15386999999998</v>
      </c>
    </row>
    <row r="61" spans="1:27" x14ac:dyDescent="0.2">
      <c r="A61">
        <v>177</v>
      </c>
      <c r="B61" t="s">
        <v>25</v>
      </c>
      <c r="C61" t="s">
        <v>42</v>
      </c>
      <c r="D61" t="s">
        <v>33</v>
      </c>
      <c r="E61">
        <v>3</v>
      </c>
      <c r="F61" t="s">
        <v>49</v>
      </c>
      <c r="G61" t="s">
        <v>34</v>
      </c>
      <c r="H61">
        <v>5.2170000000000001E-2</v>
      </c>
      <c r="I61">
        <v>14.760210000000001</v>
      </c>
      <c r="J61">
        <v>4.922E-2</v>
      </c>
      <c r="K61">
        <v>14.781750000000001</v>
      </c>
      <c r="L61">
        <f t="shared" si="4"/>
        <v>2.1539999999999893E-2</v>
      </c>
      <c r="M61">
        <f t="shared" si="5"/>
        <v>0.43762698090207014</v>
      </c>
      <c r="N61">
        <f t="shared" si="6"/>
        <v>2.2830999593661E-2</v>
      </c>
      <c r="O61">
        <v>3648.3112500000007</v>
      </c>
      <c r="P61">
        <f t="shared" si="3"/>
        <v>159.79638714605164</v>
      </c>
      <c r="Q61">
        <v>21258.725231443725</v>
      </c>
      <c r="R61" t="s">
        <v>3</v>
      </c>
      <c r="S61">
        <v>2.66</v>
      </c>
      <c r="T61">
        <v>46.64</v>
      </c>
      <c r="U61" s="12">
        <v>23331</v>
      </c>
      <c r="V61">
        <v>64</v>
      </c>
      <c r="W61" s="12">
        <v>23331</v>
      </c>
      <c r="X61">
        <v>64</v>
      </c>
      <c r="Y61">
        <v>177</v>
      </c>
      <c r="Z61">
        <v>6524.0375999999997</v>
      </c>
      <c r="AA61">
        <v>890.33996999999999</v>
      </c>
    </row>
    <row r="62" spans="1:27" x14ac:dyDescent="0.2">
      <c r="A62">
        <v>181</v>
      </c>
      <c r="B62" t="s">
        <v>29</v>
      </c>
      <c r="C62" t="s">
        <v>32</v>
      </c>
      <c r="D62" t="s">
        <v>33</v>
      </c>
      <c r="E62">
        <v>2</v>
      </c>
      <c r="G62" t="s">
        <v>28</v>
      </c>
      <c r="H62">
        <v>5.2049999999999999E-2</v>
      </c>
      <c r="I62">
        <v>15.005800000000001</v>
      </c>
      <c r="J62">
        <v>5.0169999999999999E-2</v>
      </c>
      <c r="K62">
        <v>15.02495</v>
      </c>
      <c r="L62">
        <f t="shared" si="4"/>
        <v>1.9149999999999778E-2</v>
      </c>
      <c r="M62">
        <f t="shared" si="5"/>
        <v>0.3817022124775718</v>
      </c>
      <c r="N62">
        <f t="shared" si="6"/>
        <v>1.9867600159457613E-2</v>
      </c>
      <c r="O62">
        <v>2787.6837500000001</v>
      </c>
      <c r="P62">
        <f t="shared" si="3"/>
        <v>140.31305883076038</v>
      </c>
      <c r="Q62">
        <v>55690.842943003066</v>
      </c>
      <c r="R62" t="s">
        <v>3</v>
      </c>
      <c r="S62">
        <v>3.82</v>
      </c>
      <c r="T62">
        <v>45.42</v>
      </c>
      <c r="U62" s="12">
        <v>31341.8</v>
      </c>
      <c r="V62">
        <v>70</v>
      </c>
      <c r="W62" s="12">
        <v>31341.8</v>
      </c>
      <c r="X62">
        <v>70</v>
      </c>
      <c r="Y62">
        <v>181</v>
      </c>
      <c r="Z62">
        <v>1708.3144500000001</v>
      </c>
      <c r="AA62">
        <v>3889.0966800000001</v>
      </c>
    </row>
    <row r="63" spans="1:27" x14ac:dyDescent="0.2">
      <c r="A63">
        <v>183</v>
      </c>
      <c r="B63" t="s">
        <v>25</v>
      </c>
      <c r="C63" t="s">
        <v>32</v>
      </c>
      <c r="D63" t="s">
        <v>27</v>
      </c>
      <c r="E63">
        <v>1</v>
      </c>
      <c r="G63" t="s">
        <v>28</v>
      </c>
      <c r="H63">
        <v>5.144E-2</v>
      </c>
      <c r="I63">
        <v>14.839980000000001</v>
      </c>
      <c r="J63">
        <v>4.8169999999999998E-2</v>
      </c>
      <c r="K63">
        <v>14.8614</v>
      </c>
      <c r="L63">
        <f t="shared" si="4"/>
        <v>2.1419999999999106E-2</v>
      </c>
      <c r="M63">
        <f t="shared" si="5"/>
        <v>0.44467510898897877</v>
      </c>
      <c r="N63">
        <f t="shared" si="6"/>
        <v>2.2874087606393069E-2</v>
      </c>
      <c r="O63">
        <v>2547.5250000000001</v>
      </c>
      <c r="P63">
        <f t="shared" si="3"/>
        <v>111.37165529120355</v>
      </c>
      <c r="Q63">
        <v>20039.566609576123</v>
      </c>
      <c r="R63" t="s">
        <v>3</v>
      </c>
      <c r="S63">
        <v>3.59</v>
      </c>
      <c r="T63">
        <v>44.85</v>
      </c>
      <c r="U63" s="12">
        <v>31371.7</v>
      </c>
      <c r="V63">
        <v>70</v>
      </c>
      <c r="W63" s="12">
        <v>31367.202519999992</v>
      </c>
      <c r="X63">
        <v>69</v>
      </c>
      <c r="Y63">
        <v>183</v>
      </c>
      <c r="Z63">
        <v>422.40008999999998</v>
      </c>
      <c r="AA63">
        <v>1605.48035</v>
      </c>
    </row>
    <row r="64" spans="1:27" x14ac:dyDescent="0.2">
      <c r="A64">
        <v>185</v>
      </c>
      <c r="B64" t="s">
        <v>25</v>
      </c>
      <c r="C64" t="s">
        <v>45</v>
      </c>
      <c r="D64" t="s">
        <v>33</v>
      </c>
      <c r="E64">
        <v>5</v>
      </c>
      <c r="G64" t="s">
        <v>28</v>
      </c>
      <c r="H64">
        <v>5.1619999999999999E-2</v>
      </c>
      <c r="I64">
        <v>14.924480000000001</v>
      </c>
      <c r="J64">
        <v>5.033E-2</v>
      </c>
      <c r="K64">
        <v>14.94736</v>
      </c>
      <c r="L64">
        <f t="shared" si="4"/>
        <v>2.2879999999998901E-2</v>
      </c>
      <c r="M64">
        <f t="shared" si="5"/>
        <v>0.4545996423603994</v>
      </c>
      <c r="N64">
        <f t="shared" si="6"/>
        <v>2.3466433538643815E-2</v>
      </c>
      <c r="O64">
        <v>4135.9612500000003</v>
      </c>
      <c r="P64">
        <f t="shared" si="3"/>
        <v>176.25009966636063</v>
      </c>
      <c r="Q64">
        <v>21055.264341146594</v>
      </c>
      <c r="R64" t="s">
        <v>3</v>
      </c>
      <c r="S64">
        <v>3.16</v>
      </c>
      <c r="T64">
        <v>46.89</v>
      </c>
      <c r="U64" s="12">
        <v>23367.599999999999</v>
      </c>
      <c r="V64">
        <v>70</v>
      </c>
      <c r="W64" s="12">
        <v>23325.683010000012</v>
      </c>
      <c r="X64">
        <v>68</v>
      </c>
      <c r="Y64">
        <v>185</v>
      </c>
      <c r="Z64">
        <v>161.34726000000001</v>
      </c>
      <c r="AA64">
        <v>0</v>
      </c>
    </row>
    <row r="65" spans="1:27" x14ac:dyDescent="0.2">
      <c r="A65">
        <v>186</v>
      </c>
      <c r="B65" t="s">
        <v>25</v>
      </c>
      <c r="C65" t="s">
        <v>32</v>
      </c>
      <c r="D65" t="s">
        <v>27</v>
      </c>
      <c r="E65">
        <v>1</v>
      </c>
      <c r="F65" t="s">
        <v>40</v>
      </c>
      <c r="G65" t="s">
        <v>28</v>
      </c>
      <c r="H65">
        <v>4.8849999999999998E-2</v>
      </c>
      <c r="I65">
        <v>14.864089999999999</v>
      </c>
      <c r="J65">
        <v>4.9919999999999999E-2</v>
      </c>
      <c r="K65">
        <v>14.88894</v>
      </c>
      <c r="L65">
        <f t="shared" si="4"/>
        <v>2.4850000000000705E-2</v>
      </c>
      <c r="M65">
        <f t="shared" si="5"/>
        <v>0.49779647435898849</v>
      </c>
      <c r="N65">
        <f t="shared" si="6"/>
        <v>2.4317357772436588E-2</v>
      </c>
      <c r="O65">
        <v>2652.7</v>
      </c>
      <c r="P65">
        <f t="shared" si="3"/>
        <v>109.08668716495183</v>
      </c>
      <c r="Q65">
        <v>21933.754199522762</v>
      </c>
      <c r="R65" t="s">
        <v>3</v>
      </c>
      <c r="S65">
        <v>4.1500000000000004</v>
      </c>
      <c r="T65">
        <v>44.96</v>
      </c>
      <c r="U65" s="12">
        <v>38425</v>
      </c>
      <c r="V65">
        <v>82</v>
      </c>
      <c r="W65" s="12">
        <v>38354.166750000011</v>
      </c>
      <c r="X65">
        <v>80</v>
      </c>
      <c r="Y65">
        <v>186</v>
      </c>
      <c r="Z65">
        <v>1663.1749299999999</v>
      </c>
      <c r="AA65">
        <v>883.89124000000004</v>
      </c>
    </row>
    <row r="66" spans="1:27" x14ac:dyDescent="0.2">
      <c r="A66">
        <v>189</v>
      </c>
      <c r="B66" t="s">
        <v>35</v>
      </c>
      <c r="C66" t="s">
        <v>26</v>
      </c>
      <c r="D66" t="s">
        <v>27</v>
      </c>
      <c r="E66">
        <v>2</v>
      </c>
      <c r="G66" t="s">
        <v>28</v>
      </c>
      <c r="H66">
        <v>4.9020000000000001E-2</v>
      </c>
      <c r="I66">
        <v>14.917719999999999</v>
      </c>
      <c r="J66">
        <v>4.9579999999999999E-2</v>
      </c>
      <c r="K66">
        <v>14.93505</v>
      </c>
      <c r="L66">
        <f t="shared" ref="L66:L97" si="7">K66-I66</f>
        <v>1.7330000000001178E-2</v>
      </c>
      <c r="M66">
        <f t="shared" ref="M66:M97" si="8">L66/J66</f>
        <v>0.34953610326747031</v>
      </c>
      <c r="N66">
        <f t="shared" ref="N66:N97" si="9">M66*H66</f>
        <v>1.7134259782171396E-2</v>
      </c>
      <c r="O66">
        <v>2103.8812499999999</v>
      </c>
      <c r="P66">
        <f t="shared" si="3"/>
        <v>122.78798598519781</v>
      </c>
      <c r="Q66">
        <v>14637.762909892937</v>
      </c>
      <c r="R66" t="s">
        <v>3</v>
      </c>
      <c r="S66">
        <v>3.34</v>
      </c>
      <c r="T66">
        <v>45.46</v>
      </c>
      <c r="U66" s="12">
        <v>20137.5</v>
      </c>
      <c r="V66">
        <v>60</v>
      </c>
      <c r="W66" s="12">
        <v>20137.5</v>
      </c>
      <c r="X66">
        <v>60</v>
      </c>
      <c r="Y66">
        <v>189</v>
      </c>
      <c r="Z66">
        <v>4971.7968700000001</v>
      </c>
      <c r="AA66">
        <v>0</v>
      </c>
    </row>
    <row r="67" spans="1:27" x14ac:dyDescent="0.2">
      <c r="A67">
        <v>190</v>
      </c>
      <c r="B67" t="s">
        <v>29</v>
      </c>
      <c r="C67" t="s">
        <v>37</v>
      </c>
      <c r="D67" t="s">
        <v>27</v>
      </c>
      <c r="E67">
        <v>1</v>
      </c>
      <c r="G67" t="s">
        <v>28</v>
      </c>
      <c r="H67">
        <v>4.9160000000000002E-2</v>
      </c>
      <c r="I67">
        <v>15.016030000000001</v>
      </c>
      <c r="J67">
        <v>5.0869999999999999E-2</v>
      </c>
      <c r="K67">
        <v>15.03576</v>
      </c>
      <c r="L67">
        <f t="shared" si="7"/>
        <v>1.9729999999999137E-2</v>
      </c>
      <c r="M67">
        <f t="shared" si="8"/>
        <v>0.38785138588557377</v>
      </c>
      <c r="N67">
        <f t="shared" si="9"/>
        <v>1.9066774130134807E-2</v>
      </c>
      <c r="O67">
        <v>3889.8924999999999</v>
      </c>
      <c r="P67">
        <f t="shared" ref="P67:P130" si="10">(O67/1000)/N67</f>
        <v>204.01419104514756</v>
      </c>
      <c r="Q67">
        <v>15674.129689516589</v>
      </c>
      <c r="R67" t="s">
        <v>3</v>
      </c>
      <c r="S67">
        <v>3.59</v>
      </c>
      <c r="T67">
        <v>45.22</v>
      </c>
      <c r="U67" s="12">
        <v>24802</v>
      </c>
      <c r="V67">
        <v>72</v>
      </c>
      <c r="W67" s="12">
        <v>24802</v>
      </c>
      <c r="X67">
        <v>72</v>
      </c>
      <c r="Y67">
        <v>190</v>
      </c>
      <c r="Z67">
        <v>1963.1289099999999</v>
      </c>
      <c r="AA67">
        <v>885.38842999999997</v>
      </c>
    </row>
    <row r="68" spans="1:27" x14ac:dyDescent="0.2">
      <c r="A68">
        <v>192</v>
      </c>
      <c r="B68" t="s">
        <v>29</v>
      </c>
      <c r="C68" t="s">
        <v>30</v>
      </c>
      <c r="D68" t="s">
        <v>33</v>
      </c>
      <c r="E68">
        <v>1</v>
      </c>
      <c r="G68" t="s">
        <v>28</v>
      </c>
      <c r="H68">
        <v>5.1700000000000003E-2</v>
      </c>
      <c r="I68">
        <v>14.957649999999999</v>
      </c>
      <c r="J68">
        <v>5.151E-2</v>
      </c>
      <c r="K68">
        <v>14.977180000000001</v>
      </c>
      <c r="L68">
        <f t="shared" si="7"/>
        <v>1.953000000000138E-2</v>
      </c>
      <c r="M68">
        <f t="shared" si="8"/>
        <v>0.37914967967387653</v>
      </c>
      <c r="N68">
        <f t="shared" si="9"/>
        <v>1.9602038439139418E-2</v>
      </c>
      <c r="O68">
        <v>2085.7062500000002</v>
      </c>
      <c r="P68">
        <f t="shared" si="10"/>
        <v>106.40251810931396</v>
      </c>
      <c r="Q68">
        <v>130115.49053779407</v>
      </c>
      <c r="R68" t="s">
        <v>3</v>
      </c>
      <c r="S68">
        <v>3.8</v>
      </c>
      <c r="T68">
        <v>43.94</v>
      </c>
      <c r="U68" s="12">
        <v>26533.599999999999</v>
      </c>
      <c r="V68">
        <v>74</v>
      </c>
      <c r="W68" s="12">
        <v>26533.58958</v>
      </c>
      <c r="X68">
        <v>74</v>
      </c>
      <c r="Y68">
        <v>192</v>
      </c>
      <c r="Z68">
        <v>2055.2372999999998</v>
      </c>
      <c r="AA68">
        <v>1560.8194599999999</v>
      </c>
    </row>
    <row r="69" spans="1:27" x14ac:dyDescent="0.2">
      <c r="A69">
        <v>193</v>
      </c>
      <c r="B69" t="s">
        <v>25</v>
      </c>
      <c r="C69" t="s">
        <v>45</v>
      </c>
      <c r="D69" t="s">
        <v>33</v>
      </c>
      <c r="E69">
        <v>5</v>
      </c>
      <c r="F69" t="s">
        <v>40</v>
      </c>
      <c r="G69" t="s">
        <v>34</v>
      </c>
      <c r="H69">
        <v>5.1499999999999997E-2</v>
      </c>
      <c r="I69">
        <v>14.949020000000001</v>
      </c>
      <c r="J69">
        <v>4.8050000000000002E-2</v>
      </c>
      <c r="K69">
        <v>14.969989999999999</v>
      </c>
      <c r="L69">
        <f t="shared" si="7"/>
        <v>2.0969999999998379E-2</v>
      </c>
      <c r="M69">
        <f t="shared" si="8"/>
        <v>0.43642039542140226</v>
      </c>
      <c r="N69">
        <f t="shared" si="9"/>
        <v>2.2475650364202217E-2</v>
      </c>
      <c r="O69">
        <v>2549.1712499999999</v>
      </c>
      <c r="P69">
        <f t="shared" si="10"/>
        <v>113.41924298929997</v>
      </c>
      <c r="Q69">
        <v>14987.771152915811</v>
      </c>
      <c r="R69" t="s">
        <v>3</v>
      </c>
      <c r="S69">
        <v>3.2</v>
      </c>
      <c r="T69">
        <v>46.62</v>
      </c>
      <c r="U69" s="12">
        <v>25543.1</v>
      </c>
      <c r="V69">
        <v>52</v>
      </c>
      <c r="W69" s="12">
        <v>25474.676649999998</v>
      </c>
      <c r="X69">
        <v>51</v>
      </c>
      <c r="Y69">
        <v>193</v>
      </c>
      <c r="Z69" s="14">
        <v>249.59079</v>
      </c>
      <c r="AA69">
        <v>0</v>
      </c>
    </row>
    <row r="70" spans="1:27" x14ac:dyDescent="0.2">
      <c r="A70">
        <v>194</v>
      </c>
      <c r="B70" t="s">
        <v>29</v>
      </c>
      <c r="C70" t="s">
        <v>26</v>
      </c>
      <c r="D70" t="s">
        <v>33</v>
      </c>
      <c r="E70">
        <v>1</v>
      </c>
      <c r="G70" t="s">
        <v>31</v>
      </c>
      <c r="H70">
        <v>4.9349999999999998E-2</v>
      </c>
      <c r="I70">
        <v>14.96203</v>
      </c>
      <c r="J70">
        <v>5.151E-2</v>
      </c>
      <c r="K70">
        <v>14.986829999999999</v>
      </c>
      <c r="L70">
        <f t="shared" si="7"/>
        <v>2.4799999999999045E-2</v>
      </c>
      <c r="M70">
        <f t="shared" si="8"/>
        <v>0.4814599106969335</v>
      </c>
      <c r="N70">
        <f t="shared" si="9"/>
        <v>2.3760046592893668E-2</v>
      </c>
      <c r="O70">
        <v>3130.0337500000001</v>
      </c>
      <c r="P70">
        <f t="shared" si="10"/>
        <v>131.73516885847158</v>
      </c>
      <c r="Q70">
        <v>3358.4257513428879</v>
      </c>
      <c r="R70" t="s">
        <v>2</v>
      </c>
      <c r="S70">
        <v>4.3</v>
      </c>
      <c r="T70">
        <v>45.73</v>
      </c>
      <c r="U70" s="12">
        <v>68510.899999999994</v>
      </c>
      <c r="V70">
        <v>148</v>
      </c>
      <c r="W70" s="12">
        <v>68498.340139999942</v>
      </c>
      <c r="X70">
        <v>146</v>
      </c>
      <c r="Y70">
        <v>194</v>
      </c>
      <c r="Z70">
        <v>2935.9091800000001</v>
      </c>
      <c r="AA70">
        <v>1521.9583700000001</v>
      </c>
    </row>
    <row r="71" spans="1:27" x14ac:dyDescent="0.2">
      <c r="A71">
        <v>195</v>
      </c>
      <c r="B71" t="s">
        <v>29</v>
      </c>
      <c r="C71" t="s">
        <v>30</v>
      </c>
      <c r="D71" t="s">
        <v>33</v>
      </c>
      <c r="E71">
        <v>1</v>
      </c>
      <c r="F71" t="s">
        <v>40</v>
      </c>
      <c r="G71" t="s">
        <v>28</v>
      </c>
      <c r="H71">
        <v>5.0750000000000003E-2</v>
      </c>
      <c r="I71">
        <v>14.836499999999999</v>
      </c>
      <c r="J71">
        <v>5.0470000000000001E-2</v>
      </c>
      <c r="K71">
        <v>14.85416</v>
      </c>
      <c r="L71">
        <f t="shared" si="7"/>
        <v>1.7660000000001119E-2</v>
      </c>
      <c r="M71">
        <f t="shared" si="8"/>
        <v>0.34991083812167861</v>
      </c>
      <c r="N71">
        <f t="shared" si="9"/>
        <v>1.7757975034675192E-2</v>
      </c>
      <c r="O71">
        <v>2006.0887500000001</v>
      </c>
      <c r="P71">
        <f t="shared" si="10"/>
        <v>112.9683280938734</v>
      </c>
      <c r="Q71">
        <v>80719.609317541428</v>
      </c>
      <c r="R71" t="s">
        <v>3</v>
      </c>
      <c r="S71">
        <v>2.8</v>
      </c>
      <c r="T71">
        <v>45.25</v>
      </c>
      <c r="U71" s="12">
        <v>27763.200000000001</v>
      </c>
      <c r="V71">
        <v>76</v>
      </c>
      <c r="W71" s="12">
        <v>27763.204300000005</v>
      </c>
      <c r="X71">
        <v>76</v>
      </c>
      <c r="Y71">
        <v>195</v>
      </c>
      <c r="Z71">
        <v>1910.9140600000001</v>
      </c>
      <c r="AA71">
        <v>2605.78442</v>
      </c>
    </row>
    <row r="72" spans="1:27" x14ac:dyDescent="0.2">
      <c r="A72">
        <v>199</v>
      </c>
      <c r="B72" t="s">
        <v>29</v>
      </c>
      <c r="C72" t="s">
        <v>45</v>
      </c>
      <c r="D72" t="s">
        <v>33</v>
      </c>
      <c r="E72">
        <v>3</v>
      </c>
      <c r="F72" t="s">
        <v>47</v>
      </c>
      <c r="G72" t="s">
        <v>39</v>
      </c>
      <c r="H72">
        <v>5.0720000000000001E-2</v>
      </c>
      <c r="I72">
        <v>14.80517</v>
      </c>
      <c r="J72">
        <v>4.9029999999999997E-2</v>
      </c>
      <c r="K72">
        <v>14.825089999999999</v>
      </c>
      <c r="L72">
        <f t="shared" si="7"/>
        <v>1.991999999999905E-2</v>
      </c>
      <c r="M72">
        <f t="shared" si="8"/>
        <v>0.40628186824391294</v>
      </c>
      <c r="N72">
        <f t="shared" si="9"/>
        <v>2.0606616357331263E-2</v>
      </c>
      <c r="O72">
        <v>2702.4862499999999</v>
      </c>
      <c r="P72">
        <f t="shared" si="10"/>
        <v>131.14653095574957</v>
      </c>
      <c r="Q72">
        <v>2386.4492380067832</v>
      </c>
      <c r="R72" t="s">
        <v>2</v>
      </c>
      <c r="S72">
        <v>3.33</v>
      </c>
      <c r="T72">
        <v>41.6</v>
      </c>
      <c r="U72" s="12">
        <v>37597.1</v>
      </c>
      <c r="V72">
        <v>75</v>
      </c>
      <c r="W72" s="12">
        <v>37597.114469999986</v>
      </c>
      <c r="X72">
        <v>75</v>
      </c>
      <c r="Y72">
        <v>199</v>
      </c>
      <c r="Z72">
        <v>1940.3548599999999</v>
      </c>
      <c r="AA72">
        <v>983.06457999999998</v>
      </c>
    </row>
    <row r="73" spans="1:27" x14ac:dyDescent="0.2">
      <c r="A73">
        <v>201</v>
      </c>
      <c r="B73" t="s">
        <v>29</v>
      </c>
      <c r="C73" t="s">
        <v>37</v>
      </c>
      <c r="D73" t="s">
        <v>27</v>
      </c>
      <c r="E73">
        <v>2</v>
      </c>
      <c r="F73" t="s">
        <v>40</v>
      </c>
      <c r="G73" t="s">
        <v>34</v>
      </c>
      <c r="H73">
        <v>5.0470000000000001E-2</v>
      </c>
      <c r="I73">
        <v>14.96913</v>
      </c>
      <c r="J73">
        <v>5.0709999999999998E-2</v>
      </c>
      <c r="K73">
        <v>14.991479999999999</v>
      </c>
      <c r="L73">
        <f t="shared" si="7"/>
        <v>2.2349999999999426E-2</v>
      </c>
      <c r="M73">
        <f t="shared" si="8"/>
        <v>0.44074147111022338</v>
      </c>
      <c r="N73">
        <f t="shared" si="9"/>
        <v>2.2244222046932976E-2</v>
      </c>
      <c r="O73">
        <v>2790.5050000000001</v>
      </c>
      <c r="P73">
        <f t="shared" si="10"/>
        <v>125.44853194291655</v>
      </c>
      <c r="Q73">
        <v>16805.84295637588</v>
      </c>
      <c r="R73" t="s">
        <v>3</v>
      </c>
      <c r="S73">
        <v>3.16</v>
      </c>
      <c r="T73">
        <v>44.9</v>
      </c>
      <c r="U73" s="12">
        <v>25121.599999999999</v>
      </c>
      <c r="V73">
        <v>71</v>
      </c>
      <c r="W73" s="12">
        <v>25121.599999999999</v>
      </c>
      <c r="X73">
        <v>71</v>
      </c>
      <c r="Y73">
        <v>201</v>
      </c>
      <c r="Z73">
        <v>4257.12842</v>
      </c>
      <c r="AA73">
        <v>1162.78943</v>
      </c>
    </row>
    <row r="74" spans="1:27" x14ac:dyDescent="0.2">
      <c r="A74">
        <v>202</v>
      </c>
      <c r="B74" t="s">
        <v>35</v>
      </c>
      <c r="C74" t="s">
        <v>32</v>
      </c>
      <c r="D74" t="s">
        <v>27</v>
      </c>
      <c r="E74">
        <v>1</v>
      </c>
      <c r="F74" t="s">
        <v>40</v>
      </c>
      <c r="G74" t="s">
        <v>28</v>
      </c>
      <c r="H74">
        <v>5.0569999999999997E-2</v>
      </c>
      <c r="I74">
        <v>14.89734</v>
      </c>
      <c r="J74">
        <v>5.101E-2</v>
      </c>
      <c r="K74">
        <v>14.92295</v>
      </c>
      <c r="L74">
        <f t="shared" si="7"/>
        <v>2.5610000000000355E-2</v>
      </c>
      <c r="M74">
        <f t="shared" si="8"/>
        <v>0.5020584199176702</v>
      </c>
      <c r="N74">
        <f t="shared" si="9"/>
        <v>2.5389094295236579E-2</v>
      </c>
      <c r="O74">
        <v>3626.5262499999999</v>
      </c>
      <c r="P74">
        <f t="shared" si="10"/>
        <v>142.8379526984701</v>
      </c>
      <c r="Q74">
        <v>960.15837793844651</v>
      </c>
      <c r="R74" t="s">
        <v>2</v>
      </c>
      <c r="S74">
        <v>3.8</v>
      </c>
      <c r="T74">
        <v>43.06</v>
      </c>
      <c r="U74" s="12">
        <v>34294.1</v>
      </c>
      <c r="V74">
        <v>77</v>
      </c>
      <c r="W74" s="12">
        <v>34268.959929999997</v>
      </c>
      <c r="X74">
        <v>76</v>
      </c>
      <c r="Y74">
        <v>202</v>
      </c>
      <c r="Z74" s="14">
        <v>1390.7824700000001</v>
      </c>
      <c r="AA74">
        <v>1347.5914299999999</v>
      </c>
    </row>
    <row r="75" spans="1:27" x14ac:dyDescent="0.2">
      <c r="A75">
        <v>205</v>
      </c>
      <c r="B75" t="s">
        <v>25</v>
      </c>
      <c r="C75" t="s">
        <v>48</v>
      </c>
      <c r="D75" t="s">
        <v>33</v>
      </c>
      <c r="E75">
        <v>2</v>
      </c>
      <c r="G75" t="s">
        <v>39</v>
      </c>
      <c r="H75">
        <v>5.0410000000000003E-2</v>
      </c>
      <c r="I75">
        <v>14.978680000000001</v>
      </c>
      <c r="J75">
        <v>5.1310000000000001E-2</v>
      </c>
      <c r="K75">
        <v>14.999879999999999</v>
      </c>
      <c r="L75">
        <f t="shared" si="7"/>
        <v>2.1199999999998553E-2</v>
      </c>
      <c r="M75">
        <f t="shared" si="8"/>
        <v>0.41317481972322262</v>
      </c>
      <c r="N75">
        <f t="shared" si="9"/>
        <v>2.0828142662247653E-2</v>
      </c>
      <c r="O75">
        <v>2724.2949999999996</v>
      </c>
      <c r="P75">
        <f t="shared" si="10"/>
        <v>130.79874879760447</v>
      </c>
      <c r="Q75">
        <v>2874.0503003785948</v>
      </c>
      <c r="R75" t="s">
        <v>2</v>
      </c>
      <c r="S75">
        <v>3.98</v>
      </c>
      <c r="T75">
        <v>45.38</v>
      </c>
      <c r="U75" s="12">
        <v>41946</v>
      </c>
      <c r="V75">
        <v>80</v>
      </c>
      <c r="W75" s="12">
        <v>41936.162980000001</v>
      </c>
      <c r="X75">
        <v>79</v>
      </c>
      <c r="Y75">
        <v>205</v>
      </c>
      <c r="Z75" s="14">
        <v>10427.299999999999</v>
      </c>
      <c r="AA75">
        <v>983.23712</v>
      </c>
    </row>
    <row r="76" spans="1:27" x14ac:dyDescent="0.2">
      <c r="A76">
        <v>208</v>
      </c>
      <c r="B76" t="s">
        <v>29</v>
      </c>
      <c r="C76" t="s">
        <v>32</v>
      </c>
      <c r="D76" t="s">
        <v>33</v>
      </c>
      <c r="E76">
        <v>1</v>
      </c>
      <c r="F76" t="s">
        <v>40</v>
      </c>
      <c r="G76" t="s">
        <v>34</v>
      </c>
      <c r="H76">
        <v>5.1589999999999997E-2</v>
      </c>
      <c r="I76">
        <v>14.90283</v>
      </c>
      <c r="J76">
        <v>5.0389999999999997E-2</v>
      </c>
      <c r="K76">
        <v>14.92197</v>
      </c>
      <c r="L76">
        <f t="shared" si="7"/>
        <v>1.9140000000000157E-2</v>
      </c>
      <c r="M76">
        <f t="shared" si="8"/>
        <v>0.37983726929946732</v>
      </c>
      <c r="N76">
        <f t="shared" si="9"/>
        <v>1.9595804723159516E-2</v>
      </c>
      <c r="O76">
        <v>4095.1837500000001</v>
      </c>
      <c r="P76">
        <f t="shared" si="10"/>
        <v>208.98267807088641</v>
      </c>
      <c r="Q76">
        <v>42802.36940384144</v>
      </c>
      <c r="R76" t="s">
        <v>3</v>
      </c>
      <c r="S76">
        <v>3.37</v>
      </c>
      <c r="T76">
        <v>45.89</v>
      </c>
      <c r="U76" s="12">
        <v>20214.5</v>
      </c>
      <c r="V76">
        <v>69</v>
      </c>
      <c r="W76" s="12">
        <v>20214.5</v>
      </c>
      <c r="X76">
        <v>69</v>
      </c>
      <c r="Y76">
        <v>208</v>
      </c>
      <c r="Z76">
        <v>123.49079999999999</v>
      </c>
      <c r="AA76">
        <v>1800.08923</v>
      </c>
    </row>
    <row r="77" spans="1:27" x14ac:dyDescent="0.2">
      <c r="A77">
        <v>209</v>
      </c>
      <c r="B77" t="s">
        <v>25</v>
      </c>
      <c r="C77" t="s">
        <v>45</v>
      </c>
      <c r="D77" t="s">
        <v>33</v>
      </c>
      <c r="E77">
        <v>3</v>
      </c>
      <c r="G77" t="s">
        <v>28</v>
      </c>
      <c r="H77">
        <v>4.9979999999999997E-2</v>
      </c>
      <c r="I77">
        <v>14.962199999999999</v>
      </c>
      <c r="J77">
        <v>4.9820000000000003E-2</v>
      </c>
      <c r="K77">
        <v>14.98634</v>
      </c>
      <c r="L77">
        <f t="shared" si="7"/>
        <v>2.4140000000000938E-2</v>
      </c>
      <c r="M77">
        <f t="shared" si="8"/>
        <v>0.48454435969492043</v>
      </c>
      <c r="N77">
        <f t="shared" si="9"/>
        <v>2.4217527097552122E-2</v>
      </c>
      <c r="O77">
        <v>5201.4212499999994</v>
      </c>
      <c r="P77">
        <f t="shared" si="10"/>
        <v>214.77920635942027</v>
      </c>
      <c r="Q77">
        <v>12019.069406024275</v>
      </c>
      <c r="R77" t="s">
        <v>3</v>
      </c>
      <c r="S77">
        <v>3.59</v>
      </c>
      <c r="T77">
        <v>45.49</v>
      </c>
      <c r="U77" s="12">
        <v>31504.7</v>
      </c>
      <c r="V77">
        <v>74</v>
      </c>
      <c r="W77" s="12">
        <v>31499.539560000001</v>
      </c>
      <c r="X77">
        <v>73</v>
      </c>
      <c r="Y77">
        <v>209</v>
      </c>
      <c r="Z77">
        <v>5555.5024400000002</v>
      </c>
      <c r="AA77">
        <v>1122.8091999999999</v>
      </c>
    </row>
    <row r="78" spans="1:27" x14ac:dyDescent="0.2">
      <c r="A78">
        <v>211</v>
      </c>
      <c r="B78" t="s">
        <v>29</v>
      </c>
      <c r="C78" t="s">
        <v>43</v>
      </c>
      <c r="D78" t="s">
        <v>27</v>
      </c>
      <c r="E78">
        <v>1</v>
      </c>
      <c r="G78" t="s">
        <v>39</v>
      </c>
      <c r="H78">
        <v>5.1769999999999997E-2</v>
      </c>
      <c r="I78">
        <v>15.104039999999999</v>
      </c>
      <c r="J78">
        <v>4.956E-2</v>
      </c>
      <c r="K78">
        <v>15.12548</v>
      </c>
      <c r="L78">
        <f t="shared" si="7"/>
        <v>2.1440000000000126E-2</v>
      </c>
      <c r="M78">
        <f t="shared" si="8"/>
        <v>0.43260694108151987</v>
      </c>
      <c r="N78">
        <f t="shared" si="9"/>
        <v>2.2396061339790281E-2</v>
      </c>
      <c r="O78">
        <v>2874.0949999999998</v>
      </c>
      <c r="P78">
        <f t="shared" si="10"/>
        <v>128.33037722100261</v>
      </c>
      <c r="Q78">
        <v>14565.537236637978</v>
      </c>
      <c r="R78" t="s">
        <v>3</v>
      </c>
      <c r="S78">
        <v>3.01</v>
      </c>
      <c r="T78">
        <v>45.02</v>
      </c>
      <c r="U78" s="12">
        <v>25683</v>
      </c>
      <c r="V78">
        <v>74</v>
      </c>
      <c r="W78" s="12">
        <v>25682.970579999997</v>
      </c>
      <c r="X78">
        <v>74</v>
      </c>
      <c r="Y78">
        <v>211</v>
      </c>
      <c r="Z78">
        <v>1618.09924</v>
      </c>
      <c r="AA78">
        <v>922.86797999999999</v>
      </c>
    </row>
    <row r="79" spans="1:27" x14ac:dyDescent="0.2">
      <c r="A79">
        <v>212</v>
      </c>
      <c r="B79" t="s">
        <v>25</v>
      </c>
      <c r="C79" t="s">
        <v>32</v>
      </c>
      <c r="D79" t="s">
        <v>27</v>
      </c>
      <c r="E79">
        <v>1</v>
      </c>
      <c r="F79" t="s">
        <v>40</v>
      </c>
      <c r="G79" t="s">
        <v>31</v>
      </c>
      <c r="H79">
        <v>5.1880000000000003E-2</v>
      </c>
      <c r="I79">
        <v>14.993830000000001</v>
      </c>
      <c r="J79">
        <v>5.1959999999999999E-2</v>
      </c>
      <c r="K79">
        <v>15.01802</v>
      </c>
      <c r="L79">
        <f t="shared" si="7"/>
        <v>2.4189999999999046E-2</v>
      </c>
      <c r="M79">
        <f t="shared" si="8"/>
        <v>0.46555042340259906</v>
      </c>
      <c r="N79">
        <f t="shared" si="9"/>
        <v>2.415275596612684E-2</v>
      </c>
      <c r="O79">
        <v>3757.6462500000002</v>
      </c>
      <c r="P79">
        <f t="shared" si="10"/>
        <v>155.5783636148989</v>
      </c>
      <c r="Q79">
        <v>864.67131542713526</v>
      </c>
      <c r="R79" t="s">
        <v>2</v>
      </c>
      <c r="S79">
        <v>2.84</v>
      </c>
      <c r="T79">
        <v>43.6</v>
      </c>
      <c r="U79" s="12">
        <v>24131.200000000001</v>
      </c>
      <c r="V79">
        <v>65</v>
      </c>
      <c r="W79" s="12">
        <v>24112.990780000015</v>
      </c>
      <c r="X79">
        <v>64</v>
      </c>
      <c r="Y79">
        <v>212</v>
      </c>
      <c r="Z79">
        <v>2335.12646</v>
      </c>
      <c r="AA79">
        <v>0</v>
      </c>
    </row>
    <row r="80" spans="1:27" x14ac:dyDescent="0.2">
      <c r="A80">
        <v>213</v>
      </c>
      <c r="B80" t="s">
        <v>29</v>
      </c>
      <c r="C80" t="s">
        <v>48</v>
      </c>
      <c r="D80" t="s">
        <v>33</v>
      </c>
      <c r="E80">
        <v>2</v>
      </c>
      <c r="F80" t="s">
        <v>49</v>
      </c>
      <c r="G80" t="s">
        <v>31</v>
      </c>
      <c r="H80">
        <v>5.2449999999999997E-2</v>
      </c>
      <c r="I80">
        <v>14.89794</v>
      </c>
      <c r="J80">
        <v>5.0229999999999997E-2</v>
      </c>
      <c r="K80">
        <v>14.9161</v>
      </c>
      <c r="L80">
        <f t="shared" si="7"/>
        <v>1.8159999999999954E-2</v>
      </c>
      <c r="M80">
        <f t="shared" si="8"/>
        <v>0.3615369301214405</v>
      </c>
      <c r="N80">
        <f t="shared" si="9"/>
        <v>1.8962611984869555E-2</v>
      </c>
      <c r="O80">
        <v>2837.2125000000001</v>
      </c>
      <c r="P80">
        <f t="shared" si="10"/>
        <v>149.62139721383522</v>
      </c>
      <c r="Q80">
        <v>43576.246245326336</v>
      </c>
      <c r="R80" t="s">
        <v>3</v>
      </c>
      <c r="S80">
        <v>3.83</v>
      </c>
      <c r="T80">
        <v>44.72</v>
      </c>
      <c r="U80" s="12">
        <v>15164.2</v>
      </c>
      <c r="V80">
        <v>63</v>
      </c>
      <c r="W80" s="12">
        <v>15164.2</v>
      </c>
      <c r="X80">
        <v>63</v>
      </c>
      <c r="Y80">
        <v>213</v>
      </c>
      <c r="Z80">
        <v>2310.6650399999999</v>
      </c>
      <c r="AA80">
        <v>0</v>
      </c>
    </row>
    <row r="81" spans="1:27" x14ac:dyDescent="0.2">
      <c r="A81">
        <v>216</v>
      </c>
      <c r="B81" t="s">
        <v>35</v>
      </c>
      <c r="C81" t="s">
        <v>26</v>
      </c>
      <c r="D81" t="s">
        <v>27</v>
      </c>
      <c r="E81">
        <v>2</v>
      </c>
      <c r="F81" t="s">
        <v>40</v>
      </c>
      <c r="G81" t="s">
        <v>39</v>
      </c>
      <c r="H81">
        <v>5.0380000000000001E-2</v>
      </c>
      <c r="I81">
        <v>14.959210000000001</v>
      </c>
      <c r="J81">
        <v>4.8919999999999998E-2</v>
      </c>
      <c r="K81">
        <v>14.977679999999999</v>
      </c>
      <c r="L81">
        <f t="shared" si="7"/>
        <v>1.8469999999998876E-2</v>
      </c>
      <c r="M81">
        <f t="shared" si="8"/>
        <v>0.37755519215042677</v>
      </c>
      <c r="N81">
        <f t="shared" si="9"/>
        <v>1.9021230580538499E-2</v>
      </c>
      <c r="O81">
        <v>1624.3687499999999</v>
      </c>
      <c r="P81">
        <f t="shared" si="10"/>
        <v>85.397668837575978</v>
      </c>
      <c r="Q81">
        <v>11568.089030513362</v>
      </c>
      <c r="R81" t="s">
        <v>3</v>
      </c>
      <c r="S81">
        <v>3.16</v>
      </c>
      <c r="T81">
        <v>47.08</v>
      </c>
      <c r="U81" s="12">
        <v>30156.2</v>
      </c>
      <c r="V81">
        <v>63</v>
      </c>
      <c r="W81" s="12">
        <v>30151.579759999997</v>
      </c>
      <c r="X81">
        <v>62</v>
      </c>
      <c r="Y81">
        <v>216</v>
      </c>
      <c r="Z81">
        <v>1336.04773</v>
      </c>
      <c r="AA81">
        <v>909.59851000000003</v>
      </c>
    </row>
    <row r="82" spans="1:27" x14ac:dyDescent="0.2">
      <c r="A82">
        <v>217</v>
      </c>
      <c r="B82" t="s">
        <v>25</v>
      </c>
      <c r="C82" t="s">
        <v>42</v>
      </c>
      <c r="D82" t="s">
        <v>33</v>
      </c>
      <c r="E82">
        <v>1</v>
      </c>
      <c r="G82" t="s">
        <v>28</v>
      </c>
      <c r="H82">
        <v>4.9579999999999999E-2</v>
      </c>
      <c r="I82">
        <v>15.04161</v>
      </c>
      <c r="J82">
        <v>5.0709999999999998E-2</v>
      </c>
      <c r="K82">
        <v>15.069000000000001</v>
      </c>
      <c r="L82">
        <f t="shared" si="7"/>
        <v>2.739000000000047E-2</v>
      </c>
      <c r="M82">
        <f t="shared" si="8"/>
        <v>0.54013015184382707</v>
      </c>
      <c r="N82">
        <f t="shared" si="9"/>
        <v>2.6779652928416945E-2</v>
      </c>
      <c r="O82">
        <v>11092.32</v>
      </c>
      <c r="P82">
        <f t="shared" si="10"/>
        <v>414.2070111830875</v>
      </c>
      <c r="Q82">
        <v>988.67609728681339</v>
      </c>
      <c r="R82" t="s">
        <v>2</v>
      </c>
      <c r="S82">
        <v>3.54</v>
      </c>
      <c r="T82">
        <v>45.78</v>
      </c>
      <c r="U82" s="12">
        <v>13425.5</v>
      </c>
      <c r="V82">
        <v>71</v>
      </c>
      <c r="W82" s="12">
        <v>13425.494519999997</v>
      </c>
      <c r="X82">
        <v>71</v>
      </c>
      <c r="Y82">
        <v>217</v>
      </c>
      <c r="Z82">
        <v>1088.6292699999999</v>
      </c>
      <c r="AA82">
        <v>0</v>
      </c>
    </row>
    <row r="83" spans="1:27" x14ac:dyDescent="0.2">
      <c r="A83">
        <v>218</v>
      </c>
      <c r="B83" t="s">
        <v>29</v>
      </c>
      <c r="C83" t="s">
        <v>45</v>
      </c>
      <c r="D83" t="s">
        <v>33</v>
      </c>
      <c r="E83">
        <v>1</v>
      </c>
      <c r="F83" t="s">
        <v>40</v>
      </c>
      <c r="G83" t="s">
        <v>28</v>
      </c>
      <c r="H83">
        <v>4.9680000000000002E-2</v>
      </c>
      <c r="I83">
        <v>14.971880000000001</v>
      </c>
      <c r="J83">
        <v>5.2209999999999999E-2</v>
      </c>
      <c r="K83">
        <v>14.993040000000001</v>
      </c>
      <c r="L83">
        <f t="shared" si="7"/>
        <v>2.1160000000000068E-2</v>
      </c>
      <c r="M83">
        <f t="shared" si="8"/>
        <v>0.40528634361233612</v>
      </c>
      <c r="N83">
        <f t="shared" si="9"/>
        <v>2.013462555066086E-2</v>
      </c>
      <c r="O83">
        <v>2371.5437500000003</v>
      </c>
      <c r="P83">
        <f t="shared" si="10"/>
        <v>117.78434836212593</v>
      </c>
      <c r="Q83">
        <v>49843.248999307776</v>
      </c>
      <c r="R83" t="s">
        <v>3</v>
      </c>
      <c r="S83">
        <v>3.77</v>
      </c>
      <c r="T83">
        <v>45.01</v>
      </c>
      <c r="U83" s="12">
        <v>25010.3</v>
      </c>
      <c r="V83">
        <v>60</v>
      </c>
      <c r="W83" s="12">
        <v>25010.3</v>
      </c>
      <c r="X83">
        <v>60</v>
      </c>
      <c r="Y83">
        <v>218</v>
      </c>
      <c r="Z83">
        <v>335.71033</v>
      </c>
      <c r="AA83">
        <v>1300.4727800000001</v>
      </c>
    </row>
    <row r="84" spans="1:27" x14ac:dyDescent="0.2">
      <c r="A84">
        <v>219</v>
      </c>
      <c r="B84" t="s">
        <v>29</v>
      </c>
      <c r="C84" t="s">
        <v>32</v>
      </c>
      <c r="D84" t="s">
        <v>33</v>
      </c>
      <c r="E84">
        <v>3</v>
      </c>
      <c r="G84" t="s">
        <v>39</v>
      </c>
      <c r="H84">
        <v>5.0279999999999998E-2</v>
      </c>
      <c r="I84">
        <v>14.97303</v>
      </c>
      <c r="J84">
        <v>4.999E-2</v>
      </c>
      <c r="K84">
        <v>14.995609999999999</v>
      </c>
      <c r="L84">
        <f t="shared" si="7"/>
        <v>2.25799999999996E-2</v>
      </c>
      <c r="M84">
        <f t="shared" si="8"/>
        <v>0.45169033806760556</v>
      </c>
      <c r="N84">
        <f t="shared" si="9"/>
        <v>2.2710990198039207E-2</v>
      </c>
      <c r="O84">
        <v>3134.4574999999995</v>
      </c>
      <c r="P84">
        <f t="shared" si="10"/>
        <v>138.01500826990002</v>
      </c>
      <c r="Q84">
        <v>1087.8039850346918</v>
      </c>
      <c r="R84" t="s">
        <v>2</v>
      </c>
      <c r="S84">
        <v>4.2699999999999996</v>
      </c>
      <c r="T84">
        <v>43.51</v>
      </c>
      <c r="U84" s="12">
        <v>36366.1</v>
      </c>
      <c r="V84">
        <v>79</v>
      </c>
      <c r="W84" s="12">
        <v>36366.104180000017</v>
      </c>
      <c r="X84">
        <v>79</v>
      </c>
      <c r="Y84">
        <v>219</v>
      </c>
      <c r="Z84">
        <v>2074.0974099999999</v>
      </c>
      <c r="AA84">
        <v>592.19195999999999</v>
      </c>
    </row>
    <row r="85" spans="1:27" x14ac:dyDescent="0.2">
      <c r="A85">
        <v>220</v>
      </c>
      <c r="B85" t="s">
        <v>25</v>
      </c>
      <c r="C85" t="s">
        <v>48</v>
      </c>
      <c r="D85" t="s">
        <v>27</v>
      </c>
      <c r="E85">
        <v>3</v>
      </c>
      <c r="G85" t="s">
        <v>34</v>
      </c>
      <c r="H85">
        <v>5.1790000000000003E-2</v>
      </c>
      <c r="I85">
        <v>14.84919</v>
      </c>
      <c r="J85">
        <v>5.1650000000000001E-2</v>
      </c>
      <c r="K85">
        <v>14.87209</v>
      </c>
      <c r="L85">
        <f t="shared" si="7"/>
        <v>2.289999999999992E-2</v>
      </c>
      <c r="M85">
        <f t="shared" si="8"/>
        <v>0.44336882865440308</v>
      </c>
      <c r="N85">
        <f t="shared" si="9"/>
        <v>2.2962071636011536E-2</v>
      </c>
      <c r="O85">
        <v>2804.6050000000005</v>
      </c>
      <c r="P85">
        <f t="shared" si="10"/>
        <v>122.1407651913046</v>
      </c>
      <c r="Q85">
        <v>813.06319166777791</v>
      </c>
      <c r="R85" t="s">
        <v>2</v>
      </c>
      <c r="S85">
        <v>3.01</v>
      </c>
      <c r="T85">
        <v>47.25</v>
      </c>
      <c r="U85" s="12">
        <v>41800.5</v>
      </c>
      <c r="V85">
        <v>44</v>
      </c>
      <c r="W85" s="12">
        <v>41800.372409999996</v>
      </c>
      <c r="X85">
        <v>44</v>
      </c>
      <c r="Y85">
        <v>220</v>
      </c>
      <c r="Z85">
        <v>12619.3</v>
      </c>
      <c r="AA85">
        <v>0</v>
      </c>
    </row>
    <row r="86" spans="1:27" x14ac:dyDescent="0.2">
      <c r="A86">
        <v>224</v>
      </c>
      <c r="B86" t="s">
        <v>25</v>
      </c>
      <c r="C86" t="s">
        <v>46</v>
      </c>
      <c r="D86" t="s">
        <v>27</v>
      </c>
      <c r="E86">
        <v>2</v>
      </c>
      <c r="F86" t="s">
        <v>40</v>
      </c>
      <c r="G86" t="s">
        <v>28</v>
      </c>
      <c r="H86">
        <v>5.2330000000000002E-2</v>
      </c>
      <c r="I86">
        <v>14.973549999999999</v>
      </c>
      <c r="J86">
        <v>5.0560000000000001E-2</v>
      </c>
      <c r="K86">
        <v>14.99619</v>
      </c>
      <c r="L86">
        <f t="shared" si="7"/>
        <v>2.2640000000000882E-2</v>
      </c>
      <c r="M86">
        <f t="shared" si="8"/>
        <v>0.44778481012659971</v>
      </c>
      <c r="N86">
        <f t="shared" si="9"/>
        <v>2.3432579113924962E-2</v>
      </c>
      <c r="O86">
        <v>3574.7775000000001</v>
      </c>
      <c r="P86">
        <f t="shared" si="10"/>
        <v>152.55587029579965</v>
      </c>
      <c r="Q86">
        <v>1919.781239993162</v>
      </c>
      <c r="R86" t="s">
        <v>2</v>
      </c>
      <c r="S86">
        <v>3.07</v>
      </c>
      <c r="T86">
        <v>45.58</v>
      </c>
      <c r="U86" s="12">
        <v>47689.2</v>
      </c>
      <c r="V86">
        <v>71</v>
      </c>
      <c r="W86" s="12">
        <v>47675.87644</v>
      </c>
      <c r="X86">
        <v>70</v>
      </c>
      <c r="Y86">
        <v>224</v>
      </c>
      <c r="Z86">
        <v>958.42364999999995</v>
      </c>
      <c r="AA86">
        <v>719.24652000000003</v>
      </c>
    </row>
    <row r="87" spans="1:27" x14ac:dyDescent="0.2">
      <c r="A87">
        <v>225</v>
      </c>
      <c r="B87" t="s">
        <v>29</v>
      </c>
      <c r="C87" t="s">
        <v>42</v>
      </c>
      <c r="D87" t="s">
        <v>33</v>
      </c>
      <c r="E87">
        <v>1</v>
      </c>
      <c r="G87" t="s">
        <v>28</v>
      </c>
      <c r="H87">
        <v>5.0900000000000001E-2</v>
      </c>
      <c r="I87">
        <v>14.842280000000001</v>
      </c>
      <c r="J87">
        <v>4.9680000000000002E-2</v>
      </c>
      <c r="K87">
        <v>14.859959999999999</v>
      </c>
      <c r="L87">
        <f t="shared" si="7"/>
        <v>1.7679999999998586E-2</v>
      </c>
      <c r="M87">
        <f t="shared" si="8"/>
        <v>0.35587761674715346</v>
      </c>
      <c r="N87">
        <f t="shared" si="9"/>
        <v>1.8114170692430112E-2</v>
      </c>
      <c r="O87">
        <v>2827.6487499999994</v>
      </c>
      <c r="P87">
        <f t="shared" si="10"/>
        <v>156.10147425527296</v>
      </c>
      <c r="Q87">
        <v>38103.780065537183</v>
      </c>
      <c r="R87" t="s">
        <v>3</v>
      </c>
      <c r="S87">
        <v>3.92</v>
      </c>
      <c r="T87">
        <v>44.67</v>
      </c>
      <c r="U87" s="12">
        <v>22076.799999999999</v>
      </c>
      <c r="V87">
        <v>68</v>
      </c>
      <c r="W87" s="12">
        <v>22076.799999999999</v>
      </c>
      <c r="X87">
        <v>68</v>
      </c>
      <c r="Y87">
        <v>225</v>
      </c>
      <c r="Z87">
        <v>1836.8470500000001</v>
      </c>
      <c r="AA87">
        <v>822.87505999999996</v>
      </c>
    </row>
    <row r="88" spans="1:27" x14ac:dyDescent="0.2">
      <c r="A88">
        <v>229</v>
      </c>
      <c r="B88" t="s">
        <v>29</v>
      </c>
      <c r="C88" t="s">
        <v>43</v>
      </c>
      <c r="D88" t="s">
        <v>27</v>
      </c>
      <c r="E88">
        <v>1</v>
      </c>
      <c r="G88" t="s">
        <v>34</v>
      </c>
      <c r="H88">
        <v>5.2350000000000001E-2</v>
      </c>
      <c r="I88">
        <v>14.99751</v>
      </c>
      <c r="J88">
        <v>5.04E-2</v>
      </c>
      <c r="K88">
        <v>15.01872</v>
      </c>
      <c r="L88">
        <f t="shared" si="7"/>
        <v>2.1209999999999951E-2</v>
      </c>
      <c r="M88">
        <f t="shared" si="8"/>
        <v>0.42083333333333234</v>
      </c>
      <c r="N88">
        <f t="shared" si="9"/>
        <v>2.203062499999995E-2</v>
      </c>
      <c r="O88">
        <v>2678.3712500000001</v>
      </c>
      <c r="P88">
        <f t="shared" si="10"/>
        <v>121.57490992652302</v>
      </c>
      <c r="Q88">
        <v>2301.1255502666809</v>
      </c>
      <c r="R88" t="s">
        <v>2</v>
      </c>
      <c r="S88">
        <v>3.0999999999999996</v>
      </c>
      <c r="T88">
        <v>45.505000000000003</v>
      </c>
      <c r="U88" s="12">
        <v>24332.1</v>
      </c>
      <c r="V88">
        <v>74</v>
      </c>
      <c r="W88" s="12">
        <v>24332.1</v>
      </c>
      <c r="X88">
        <v>74</v>
      </c>
      <c r="Y88">
        <v>229</v>
      </c>
      <c r="Z88">
        <v>822.33667000000003</v>
      </c>
      <c r="AA88">
        <v>894.45061999999996</v>
      </c>
    </row>
    <row r="89" spans="1:27" x14ac:dyDescent="0.2">
      <c r="A89">
        <v>230</v>
      </c>
      <c r="B89" t="s">
        <v>29</v>
      </c>
      <c r="C89" t="s">
        <v>45</v>
      </c>
      <c r="D89" t="s">
        <v>33</v>
      </c>
      <c r="E89">
        <v>3</v>
      </c>
      <c r="G89" t="s">
        <v>31</v>
      </c>
      <c r="H89">
        <v>4.9119999999999997E-2</v>
      </c>
      <c r="I89">
        <v>14.83975</v>
      </c>
      <c r="J89">
        <v>5.0799999999999998E-2</v>
      </c>
      <c r="K89">
        <v>14.856490000000001</v>
      </c>
      <c r="L89">
        <f t="shared" si="7"/>
        <v>1.6740000000000421E-2</v>
      </c>
      <c r="M89">
        <f t="shared" si="8"/>
        <v>0.32952755905512643</v>
      </c>
      <c r="N89">
        <f t="shared" si="9"/>
        <v>1.618639370078781E-2</v>
      </c>
      <c r="O89">
        <v>2130.4637499999999</v>
      </c>
      <c r="P89">
        <f t="shared" si="10"/>
        <v>131.62065555691433</v>
      </c>
      <c r="Q89">
        <v>41891.71155830002</v>
      </c>
      <c r="R89" t="s">
        <v>3</v>
      </c>
      <c r="S89">
        <v>3.78</v>
      </c>
      <c r="T89">
        <v>44.33</v>
      </c>
      <c r="U89" s="12">
        <v>21633.1</v>
      </c>
      <c r="V89">
        <v>64</v>
      </c>
      <c r="W89" s="12">
        <v>21633.1</v>
      </c>
      <c r="X89">
        <v>64</v>
      </c>
      <c r="Y89">
        <v>230</v>
      </c>
      <c r="Z89">
        <v>764.24303999999995</v>
      </c>
      <c r="AA89">
        <v>659.27673000000004</v>
      </c>
    </row>
    <row r="90" spans="1:27" x14ac:dyDescent="0.2">
      <c r="A90">
        <v>233</v>
      </c>
      <c r="B90" t="s">
        <v>35</v>
      </c>
      <c r="C90" t="s">
        <v>45</v>
      </c>
      <c r="D90" t="s">
        <v>27</v>
      </c>
      <c r="E90">
        <v>3</v>
      </c>
      <c r="F90" t="s">
        <v>40</v>
      </c>
      <c r="G90" t="s">
        <v>28</v>
      </c>
      <c r="H90">
        <v>5.0130000000000001E-2</v>
      </c>
      <c r="I90">
        <v>14.969329999999999</v>
      </c>
      <c r="J90">
        <v>4.9169999999999998E-2</v>
      </c>
      <c r="K90">
        <v>14.987730000000001</v>
      </c>
      <c r="L90">
        <f t="shared" si="7"/>
        <v>1.8400000000001526E-2</v>
      </c>
      <c r="M90">
        <f t="shared" si="8"/>
        <v>0.37421191783610996</v>
      </c>
      <c r="N90">
        <f t="shared" si="9"/>
        <v>1.8759243441124195E-2</v>
      </c>
      <c r="O90">
        <v>2127.7962500000003</v>
      </c>
      <c r="P90">
        <f t="shared" si="10"/>
        <v>113.42654924640642</v>
      </c>
      <c r="Q90">
        <v>13265.097971421466</v>
      </c>
      <c r="R90" t="s">
        <v>3</v>
      </c>
      <c r="S90">
        <v>2.56</v>
      </c>
      <c r="T90">
        <v>45.95</v>
      </c>
      <c r="U90" s="12">
        <v>32445</v>
      </c>
      <c r="V90">
        <v>65</v>
      </c>
      <c r="W90" s="12">
        <v>32428.193609999998</v>
      </c>
      <c r="X90">
        <v>64</v>
      </c>
      <c r="Y90">
        <v>233</v>
      </c>
      <c r="Z90" s="14">
        <v>371.37204000000003</v>
      </c>
      <c r="AA90">
        <v>867.01624000000004</v>
      </c>
    </row>
    <row r="91" spans="1:27" s="10" customFormat="1" x14ac:dyDescent="0.2">
      <c r="A91" s="10">
        <v>234</v>
      </c>
      <c r="B91" s="10" t="s">
        <v>29</v>
      </c>
      <c r="C91" s="10" t="s">
        <v>48</v>
      </c>
      <c r="D91" s="10" t="s">
        <v>33</v>
      </c>
      <c r="E91" s="10">
        <v>1</v>
      </c>
      <c r="G91" s="10" t="s">
        <v>34</v>
      </c>
      <c r="H91" s="10">
        <v>4.9759999999999999E-2</v>
      </c>
      <c r="I91" s="10">
        <v>14.848710000000001</v>
      </c>
      <c r="J91" s="10">
        <v>5.0459999999999998E-2</v>
      </c>
      <c r="K91" s="10">
        <v>14.86647</v>
      </c>
      <c r="L91" s="10">
        <f t="shared" si="7"/>
        <v>1.775999999999911E-2</v>
      </c>
      <c r="M91" s="10">
        <f t="shared" si="8"/>
        <v>0.35196195005943542</v>
      </c>
      <c r="N91" s="10">
        <f t="shared" si="9"/>
        <v>1.7513626634957508E-2</v>
      </c>
      <c r="O91" s="10">
        <v>2735.4787499999998</v>
      </c>
      <c r="P91">
        <f t="shared" si="10"/>
        <v>156.19145063535476</v>
      </c>
      <c r="Q91" s="10">
        <v>42477.737790691754</v>
      </c>
      <c r="R91" s="10" t="s">
        <v>3</v>
      </c>
      <c r="S91" s="10">
        <v>3.07</v>
      </c>
      <c r="T91" s="10">
        <v>45.43</v>
      </c>
      <c r="U91" s="13">
        <v>31198.6</v>
      </c>
      <c r="V91" s="10">
        <v>68</v>
      </c>
      <c r="W91" s="13">
        <v>31198.6</v>
      </c>
      <c r="X91" s="10">
        <v>68</v>
      </c>
      <c r="Y91" s="10">
        <v>234</v>
      </c>
      <c r="Z91" s="10">
        <v>2969.64795</v>
      </c>
      <c r="AA91" s="10">
        <v>1225.24963</v>
      </c>
    </row>
    <row r="92" spans="1:27" x14ac:dyDescent="0.2">
      <c r="A92">
        <v>235</v>
      </c>
      <c r="B92" t="s">
        <v>35</v>
      </c>
      <c r="C92" t="s">
        <v>45</v>
      </c>
      <c r="D92" t="s">
        <v>27</v>
      </c>
      <c r="E92">
        <v>3</v>
      </c>
      <c r="G92" t="s">
        <v>28</v>
      </c>
      <c r="H92">
        <v>5.1950000000000003E-2</v>
      </c>
      <c r="I92">
        <v>14.769600000000001</v>
      </c>
      <c r="J92">
        <v>4.9889999999999997E-2</v>
      </c>
      <c r="K92">
        <v>14.78984</v>
      </c>
      <c r="L92">
        <f t="shared" si="7"/>
        <v>2.023999999999937E-2</v>
      </c>
      <c r="M92">
        <f t="shared" si="8"/>
        <v>0.40569252355180135</v>
      </c>
      <c r="N92">
        <f t="shared" si="9"/>
        <v>2.107572659851608E-2</v>
      </c>
      <c r="O92">
        <v>3851.8812500000004</v>
      </c>
      <c r="P92">
        <f t="shared" si="10"/>
        <v>182.76386496070828</v>
      </c>
      <c r="Q92">
        <v>11704.669717197508</v>
      </c>
      <c r="R92" t="s">
        <v>3</v>
      </c>
      <c r="S92">
        <v>3</v>
      </c>
      <c r="T92">
        <v>44.52</v>
      </c>
      <c r="U92" s="12">
        <v>25655.9</v>
      </c>
      <c r="V92">
        <v>82</v>
      </c>
      <c r="W92" s="12">
        <v>25652.862940000003</v>
      </c>
      <c r="X92">
        <v>80</v>
      </c>
      <c r="Y92">
        <v>235</v>
      </c>
      <c r="Z92">
        <v>212.86619999999999</v>
      </c>
      <c r="AA92">
        <v>1096.8194599999999</v>
      </c>
    </row>
    <row r="93" spans="1:27" x14ac:dyDescent="0.2">
      <c r="A93">
        <v>236</v>
      </c>
      <c r="B93" t="s">
        <v>35</v>
      </c>
      <c r="C93" t="s">
        <v>30</v>
      </c>
      <c r="D93" t="s">
        <v>27</v>
      </c>
      <c r="E93">
        <v>1</v>
      </c>
      <c r="F93" t="s">
        <v>40</v>
      </c>
      <c r="G93" t="s">
        <v>28</v>
      </c>
      <c r="H93">
        <v>5.203E-2</v>
      </c>
      <c r="I93">
        <v>14.95196</v>
      </c>
      <c r="J93">
        <v>4.8579999999999998E-2</v>
      </c>
      <c r="K93">
        <v>14.96983</v>
      </c>
      <c r="L93">
        <f t="shared" si="7"/>
        <v>1.7870000000000275E-2</v>
      </c>
      <c r="M93">
        <f t="shared" si="8"/>
        <v>0.36784685055578992</v>
      </c>
      <c r="N93">
        <f t="shared" si="9"/>
        <v>1.9139071634417748E-2</v>
      </c>
      <c r="O93">
        <v>2680.8050000000003</v>
      </c>
      <c r="P93">
        <f t="shared" si="10"/>
        <v>140.06975109383649</v>
      </c>
      <c r="Q93">
        <v>40564.359245331922</v>
      </c>
      <c r="R93" t="s">
        <v>3</v>
      </c>
      <c r="S93">
        <v>4.0599999999999996</v>
      </c>
      <c r="T93">
        <v>56.13</v>
      </c>
      <c r="U93" s="12">
        <v>31440.9</v>
      </c>
      <c r="V93">
        <v>71</v>
      </c>
      <c r="W93" s="12">
        <v>31418.322640000002</v>
      </c>
      <c r="X93">
        <v>70</v>
      </c>
      <c r="Y93">
        <v>236</v>
      </c>
      <c r="Z93" s="9">
        <v>5461.5512699999999</v>
      </c>
      <c r="AA93">
        <v>632.56470000000002</v>
      </c>
    </row>
    <row r="94" spans="1:27" x14ac:dyDescent="0.2">
      <c r="A94">
        <v>244</v>
      </c>
      <c r="B94" t="s">
        <v>29</v>
      </c>
      <c r="C94" t="s">
        <v>32</v>
      </c>
      <c r="D94" t="s">
        <v>33</v>
      </c>
      <c r="E94">
        <v>3</v>
      </c>
      <c r="F94" t="s">
        <v>40</v>
      </c>
      <c r="G94" t="s">
        <v>28</v>
      </c>
      <c r="H94">
        <v>5.2080000000000001E-2</v>
      </c>
      <c r="I94">
        <v>14.98311</v>
      </c>
      <c r="J94">
        <v>5.1549999999999999E-2</v>
      </c>
      <c r="K94">
        <v>15.00189</v>
      </c>
      <c r="L94">
        <f t="shared" si="7"/>
        <v>1.8779999999999575E-2</v>
      </c>
      <c r="M94">
        <f t="shared" si="8"/>
        <v>0.36430649854509362</v>
      </c>
      <c r="N94">
        <f t="shared" si="9"/>
        <v>1.8973082444228476E-2</v>
      </c>
      <c r="O94">
        <v>2320.5662499999999</v>
      </c>
      <c r="P94">
        <f t="shared" si="10"/>
        <v>122.30834166358167</v>
      </c>
      <c r="Q94">
        <v>40735.878508068461</v>
      </c>
      <c r="R94" t="s">
        <v>3</v>
      </c>
      <c r="S94">
        <v>4.55</v>
      </c>
      <c r="T94">
        <v>45.6</v>
      </c>
      <c r="U94" s="12">
        <v>24138.799999999999</v>
      </c>
      <c r="V94">
        <v>76</v>
      </c>
      <c r="W94" s="12">
        <v>24138.799999999999</v>
      </c>
      <c r="X94">
        <v>76</v>
      </c>
      <c r="Y94">
        <v>244</v>
      </c>
      <c r="Z94">
        <v>1218.41272</v>
      </c>
      <c r="AA94">
        <v>737.99194</v>
      </c>
    </row>
    <row r="95" spans="1:27" x14ac:dyDescent="0.2">
      <c r="A95">
        <v>245</v>
      </c>
      <c r="B95" t="s">
        <v>25</v>
      </c>
      <c r="C95" t="s">
        <v>32</v>
      </c>
      <c r="D95" t="s">
        <v>27</v>
      </c>
      <c r="E95">
        <v>1</v>
      </c>
      <c r="F95" t="s">
        <v>40</v>
      </c>
      <c r="G95" t="s">
        <v>28</v>
      </c>
      <c r="H95">
        <v>5.0650000000000001E-2</v>
      </c>
      <c r="I95">
        <v>14.963240000000001</v>
      </c>
      <c r="J95">
        <v>5.1580000000000001E-2</v>
      </c>
      <c r="K95">
        <v>14.99006</v>
      </c>
      <c r="L95">
        <f t="shared" si="7"/>
        <v>2.6819999999998956E-2</v>
      </c>
      <c r="M95">
        <f t="shared" si="8"/>
        <v>0.51996898022487315</v>
      </c>
      <c r="N95">
        <f t="shared" si="9"/>
        <v>2.6336428848389826E-2</v>
      </c>
      <c r="O95">
        <v>3062.7012500000001</v>
      </c>
      <c r="P95">
        <f t="shared" si="10"/>
        <v>116.29144056056217</v>
      </c>
      <c r="Q95">
        <v>17399.691735101911</v>
      </c>
      <c r="R95" t="s">
        <v>3</v>
      </c>
      <c r="S95">
        <v>4.16</v>
      </c>
      <c r="T95">
        <v>45.73</v>
      </c>
      <c r="U95" s="12">
        <v>38445.599999999999</v>
      </c>
      <c r="V95">
        <v>80</v>
      </c>
      <c r="W95" s="12">
        <v>38414.841510000006</v>
      </c>
      <c r="X95">
        <v>78</v>
      </c>
      <c r="Y95">
        <v>245</v>
      </c>
      <c r="Z95">
        <v>802.24701000000005</v>
      </c>
      <c r="AA95">
        <v>0</v>
      </c>
    </row>
    <row r="96" spans="1:27" x14ac:dyDescent="0.2">
      <c r="A96">
        <v>248</v>
      </c>
      <c r="B96" t="s">
        <v>29</v>
      </c>
      <c r="C96" t="s">
        <v>32</v>
      </c>
      <c r="D96" t="s">
        <v>33</v>
      </c>
      <c r="E96">
        <v>2</v>
      </c>
      <c r="F96" t="s">
        <v>40</v>
      </c>
      <c r="G96" t="s">
        <v>34</v>
      </c>
      <c r="H96">
        <v>4.9660000000000003E-2</v>
      </c>
      <c r="I96">
        <v>14.900600000000001</v>
      </c>
      <c r="J96">
        <v>5.16E-2</v>
      </c>
      <c r="K96">
        <v>14.920030000000001</v>
      </c>
      <c r="L96">
        <f t="shared" si="7"/>
        <v>1.9429999999999836E-2</v>
      </c>
      <c r="M96">
        <f t="shared" si="8"/>
        <v>0.37655038759689607</v>
      </c>
      <c r="N96">
        <f t="shared" si="9"/>
        <v>1.8699492248061861E-2</v>
      </c>
      <c r="O96">
        <v>3167.4962500000001</v>
      </c>
      <c r="P96">
        <f t="shared" si="10"/>
        <v>169.38942555129006</v>
      </c>
      <c r="Q96">
        <v>82173.436325183065</v>
      </c>
      <c r="R96" t="s">
        <v>3</v>
      </c>
      <c r="S96">
        <v>2.7</v>
      </c>
      <c r="T96">
        <v>45.46</v>
      </c>
      <c r="U96" s="12">
        <v>38951.300000000003</v>
      </c>
      <c r="V96">
        <v>79</v>
      </c>
      <c r="W96" s="12">
        <v>38946.05266999999</v>
      </c>
      <c r="X96">
        <v>78</v>
      </c>
      <c r="Y96">
        <v>248</v>
      </c>
      <c r="Z96">
        <v>726.42040999999995</v>
      </c>
      <c r="AA96">
        <v>1471.46423</v>
      </c>
    </row>
    <row r="97" spans="1:27" x14ac:dyDescent="0.2">
      <c r="A97">
        <v>251</v>
      </c>
      <c r="B97" t="s">
        <v>29</v>
      </c>
      <c r="C97" t="s">
        <v>26</v>
      </c>
      <c r="D97" t="s">
        <v>33</v>
      </c>
      <c r="E97">
        <v>2</v>
      </c>
      <c r="F97" t="s">
        <v>38</v>
      </c>
      <c r="G97" t="s">
        <v>28</v>
      </c>
      <c r="H97">
        <v>5.1110000000000003E-2</v>
      </c>
      <c r="I97">
        <v>15.028499999999999</v>
      </c>
      <c r="J97">
        <v>4.9099999999999998E-2</v>
      </c>
      <c r="K97">
        <v>15.04988</v>
      </c>
      <c r="L97">
        <f t="shared" si="7"/>
        <v>2.1380000000000621E-2</v>
      </c>
      <c r="M97">
        <f t="shared" si="8"/>
        <v>0.43543788187373977</v>
      </c>
      <c r="N97">
        <f t="shared" si="9"/>
        <v>2.2255230142566841E-2</v>
      </c>
      <c r="O97">
        <v>2618.6087499999994</v>
      </c>
      <c r="P97">
        <f t="shared" si="10"/>
        <v>117.66262281833129</v>
      </c>
      <c r="Q97">
        <v>727.76506811429533</v>
      </c>
      <c r="R97" t="s">
        <v>2</v>
      </c>
      <c r="S97">
        <v>3.1</v>
      </c>
      <c r="T97">
        <v>45.18</v>
      </c>
      <c r="U97" s="12">
        <v>21313.1</v>
      </c>
      <c r="V97">
        <v>64</v>
      </c>
      <c r="W97" s="12">
        <v>21313.1</v>
      </c>
      <c r="X97">
        <v>64</v>
      </c>
      <c r="Y97">
        <v>251</v>
      </c>
      <c r="Z97">
        <v>256.53008999999997</v>
      </c>
      <c r="AA97">
        <v>680.25891000000001</v>
      </c>
    </row>
    <row r="98" spans="1:27" x14ac:dyDescent="0.2">
      <c r="A98">
        <v>252</v>
      </c>
      <c r="B98" t="s">
        <v>35</v>
      </c>
      <c r="C98" t="s">
        <v>46</v>
      </c>
      <c r="D98" t="s">
        <v>27</v>
      </c>
      <c r="E98">
        <v>1</v>
      </c>
      <c r="G98" t="s">
        <v>28</v>
      </c>
      <c r="H98">
        <v>5.0799999999999998E-2</v>
      </c>
      <c r="I98">
        <v>14.900969999999999</v>
      </c>
      <c r="J98">
        <v>5.0840000000000003E-2</v>
      </c>
      <c r="K98">
        <v>14.925520000000001</v>
      </c>
      <c r="L98">
        <f t="shared" ref="L98:L129" si="11">K98-I98</f>
        <v>2.4550000000001404E-2</v>
      </c>
      <c r="M98">
        <f t="shared" ref="M98:M129" si="12">L98/J98</f>
        <v>0.48288749016525184</v>
      </c>
      <c r="N98">
        <f t="shared" ref="N98:N129" si="13">M98*H98</f>
        <v>2.4530684500394792E-2</v>
      </c>
      <c r="O98">
        <v>2584.6374999999998</v>
      </c>
      <c r="P98">
        <f t="shared" si="10"/>
        <v>105.36344796894694</v>
      </c>
      <c r="Q98">
        <v>228.94119744029166</v>
      </c>
      <c r="R98" t="s">
        <v>2</v>
      </c>
      <c r="S98">
        <v>3.84</v>
      </c>
      <c r="T98">
        <v>44.55</v>
      </c>
      <c r="U98" s="12">
        <v>36052.300000000003</v>
      </c>
      <c r="V98">
        <v>63</v>
      </c>
      <c r="W98" s="12">
        <v>36052.300000000003</v>
      </c>
      <c r="X98">
        <v>63</v>
      </c>
      <c r="Y98">
        <v>252</v>
      </c>
      <c r="Z98">
        <v>11971.2</v>
      </c>
      <c r="AA98">
        <v>0</v>
      </c>
    </row>
    <row r="99" spans="1:27" x14ac:dyDescent="0.2">
      <c r="A99">
        <v>253</v>
      </c>
      <c r="B99" t="s">
        <v>35</v>
      </c>
      <c r="C99" t="s">
        <v>26</v>
      </c>
      <c r="D99" t="s">
        <v>27</v>
      </c>
      <c r="E99">
        <v>1</v>
      </c>
      <c r="F99" t="s">
        <v>40</v>
      </c>
      <c r="G99" t="s">
        <v>28</v>
      </c>
      <c r="H99">
        <v>5.1970000000000002E-2</v>
      </c>
      <c r="I99">
        <v>14.876849999999999</v>
      </c>
      <c r="J99">
        <v>5.0209999999999998E-2</v>
      </c>
      <c r="K99">
        <v>14.89838</v>
      </c>
      <c r="L99">
        <f t="shared" si="11"/>
        <v>2.1530000000000271E-2</v>
      </c>
      <c r="M99">
        <f t="shared" si="12"/>
        <v>0.42879904401514185</v>
      </c>
      <c r="N99">
        <f t="shared" si="13"/>
        <v>2.2284686317466922E-2</v>
      </c>
      <c r="O99">
        <v>2495.9562499999997</v>
      </c>
      <c r="P99">
        <f t="shared" si="10"/>
        <v>112.00320320612495</v>
      </c>
      <c r="Q99">
        <v>2923.20631891844</v>
      </c>
      <c r="R99" t="s">
        <v>2</v>
      </c>
      <c r="S99">
        <v>3.32</v>
      </c>
      <c r="T99">
        <v>44.44</v>
      </c>
      <c r="U99" s="12">
        <v>32188.7</v>
      </c>
      <c r="V99">
        <v>63</v>
      </c>
      <c r="W99" s="12">
        <v>32188.772019999997</v>
      </c>
      <c r="X99">
        <v>63</v>
      </c>
      <c r="Y99">
        <v>253</v>
      </c>
      <c r="Z99">
        <v>6531.58691</v>
      </c>
      <c r="AA99">
        <v>0</v>
      </c>
    </row>
    <row r="100" spans="1:27" x14ac:dyDescent="0.2">
      <c r="A100">
        <v>261</v>
      </c>
      <c r="B100" t="s">
        <v>25</v>
      </c>
      <c r="C100" t="s">
        <v>46</v>
      </c>
      <c r="D100" t="s">
        <v>27</v>
      </c>
      <c r="E100">
        <v>2</v>
      </c>
      <c r="G100" t="s">
        <v>39</v>
      </c>
      <c r="H100">
        <v>5.0819999999999997E-2</v>
      </c>
      <c r="I100">
        <v>14.951129999999999</v>
      </c>
      <c r="J100">
        <v>4.9849999999999998E-2</v>
      </c>
      <c r="K100">
        <v>14.97864</v>
      </c>
      <c r="L100">
        <f t="shared" si="11"/>
        <v>2.7510000000001256E-2</v>
      </c>
      <c r="M100">
        <f t="shared" si="12"/>
        <v>0.55185556670012548</v>
      </c>
      <c r="N100">
        <f t="shared" si="13"/>
        <v>2.8045299899700376E-2</v>
      </c>
      <c r="O100">
        <v>3120.9950000000003</v>
      </c>
      <c r="P100">
        <f t="shared" si="10"/>
        <v>111.28406582071685</v>
      </c>
      <c r="Q100">
        <v>909.31012166618837</v>
      </c>
      <c r="R100" t="s">
        <v>2</v>
      </c>
      <c r="S100">
        <v>3.43</v>
      </c>
      <c r="T100">
        <v>43.07</v>
      </c>
      <c r="U100" s="12">
        <v>46935</v>
      </c>
      <c r="V100">
        <v>67</v>
      </c>
      <c r="W100" s="12">
        <v>46919.487530000013</v>
      </c>
      <c r="X100">
        <v>66</v>
      </c>
      <c r="Y100">
        <v>261</v>
      </c>
      <c r="Z100">
        <v>1435.1716300000001</v>
      </c>
      <c r="AA100">
        <v>0</v>
      </c>
    </row>
    <row r="101" spans="1:27" x14ac:dyDescent="0.2">
      <c r="A101">
        <v>262</v>
      </c>
      <c r="B101" t="s">
        <v>35</v>
      </c>
      <c r="C101" t="s">
        <v>45</v>
      </c>
      <c r="D101" t="s">
        <v>27</v>
      </c>
      <c r="E101">
        <v>1</v>
      </c>
      <c r="G101" t="s">
        <v>34</v>
      </c>
      <c r="H101">
        <v>5.0729999999999997E-2</v>
      </c>
      <c r="I101">
        <v>14.864409999999999</v>
      </c>
      <c r="J101">
        <v>5.0049999999999997E-2</v>
      </c>
      <c r="K101">
        <v>14.888920000000001</v>
      </c>
      <c r="L101">
        <f t="shared" si="11"/>
        <v>2.4510000000001142E-2</v>
      </c>
      <c r="M101">
        <f t="shared" si="12"/>
        <v>0.48971028971031255</v>
      </c>
      <c r="N101">
        <f t="shared" si="13"/>
        <v>2.4843002997004156E-2</v>
      </c>
      <c r="O101">
        <v>5361.9962500000001</v>
      </c>
      <c r="P101">
        <f t="shared" si="10"/>
        <v>215.83526961883828</v>
      </c>
      <c r="Q101">
        <v>15002.47465528823</v>
      </c>
      <c r="R101" t="s">
        <v>3</v>
      </c>
      <c r="S101">
        <v>3.25</v>
      </c>
      <c r="T101">
        <v>43.1</v>
      </c>
      <c r="U101" s="12">
        <v>36770.400000000001</v>
      </c>
      <c r="V101">
        <v>76</v>
      </c>
      <c r="W101" s="12">
        <v>36765.878819999991</v>
      </c>
      <c r="X101">
        <v>75</v>
      </c>
      <c r="Y101">
        <v>262</v>
      </c>
      <c r="Z101">
        <v>1626.9748500000001</v>
      </c>
      <c r="AA101">
        <v>1419.1099899999999</v>
      </c>
    </row>
    <row r="102" spans="1:27" x14ac:dyDescent="0.2">
      <c r="A102">
        <v>265</v>
      </c>
      <c r="B102" t="s">
        <v>25</v>
      </c>
      <c r="C102" t="s">
        <v>42</v>
      </c>
      <c r="D102" t="s">
        <v>33</v>
      </c>
      <c r="E102">
        <v>2</v>
      </c>
      <c r="G102" t="s">
        <v>28</v>
      </c>
      <c r="H102">
        <v>5.0930000000000003E-2</v>
      </c>
      <c r="I102">
        <v>14.999980000000001</v>
      </c>
      <c r="J102">
        <v>4.9250000000000002E-2</v>
      </c>
      <c r="K102">
        <v>15.017799999999999</v>
      </c>
      <c r="L102">
        <f t="shared" si="11"/>
        <v>1.7819999999998615E-2</v>
      </c>
      <c r="M102">
        <f t="shared" si="12"/>
        <v>0.36182741116748457</v>
      </c>
      <c r="N102">
        <f t="shared" si="13"/>
        <v>1.8427870050759989E-2</v>
      </c>
      <c r="O102">
        <v>2597.8224999999998</v>
      </c>
      <c r="P102">
        <f t="shared" si="10"/>
        <v>140.97247771143591</v>
      </c>
      <c r="Q102">
        <v>27391.349473509777</v>
      </c>
      <c r="R102" t="s">
        <v>3</v>
      </c>
      <c r="S102">
        <v>2.6950000000000003</v>
      </c>
      <c r="T102">
        <v>45.935000000000002</v>
      </c>
      <c r="U102" s="12">
        <v>21161.5</v>
      </c>
      <c r="V102">
        <v>63</v>
      </c>
      <c r="W102" s="12">
        <v>21149.140079999997</v>
      </c>
      <c r="X102">
        <v>61</v>
      </c>
      <c r="Y102">
        <v>265</v>
      </c>
      <c r="Z102">
        <v>5738.5146500000001</v>
      </c>
      <c r="AA102">
        <v>596.78137000000004</v>
      </c>
    </row>
    <row r="103" spans="1:27" x14ac:dyDescent="0.2">
      <c r="A103">
        <v>266</v>
      </c>
      <c r="B103" t="s">
        <v>25</v>
      </c>
      <c r="C103" t="s">
        <v>45</v>
      </c>
      <c r="D103" t="s">
        <v>33</v>
      </c>
      <c r="E103">
        <v>5</v>
      </c>
      <c r="G103" t="s">
        <v>39</v>
      </c>
      <c r="H103">
        <v>5.1920000000000001E-2</v>
      </c>
      <c r="I103">
        <v>14.918340000000001</v>
      </c>
      <c r="J103">
        <v>5.1299999999999998E-2</v>
      </c>
      <c r="K103">
        <v>14.9422</v>
      </c>
      <c r="L103">
        <f t="shared" si="11"/>
        <v>2.3859999999999104E-2</v>
      </c>
      <c r="M103">
        <f t="shared" si="12"/>
        <v>0.46510721247561609</v>
      </c>
      <c r="N103">
        <f t="shared" si="13"/>
        <v>2.414836647173399E-2</v>
      </c>
      <c r="O103">
        <v>4358.0275000000001</v>
      </c>
      <c r="P103">
        <f t="shared" si="10"/>
        <v>180.46883233700856</v>
      </c>
      <c r="Q103">
        <v>3412.9445942061184</v>
      </c>
      <c r="R103" t="s">
        <v>2</v>
      </c>
      <c r="S103">
        <v>2.68</v>
      </c>
      <c r="T103">
        <v>47.41</v>
      </c>
      <c r="U103" s="12">
        <v>34636.800000000003</v>
      </c>
      <c r="V103">
        <v>65</v>
      </c>
      <c r="W103" s="12">
        <v>34636.800000000003</v>
      </c>
      <c r="X103">
        <v>65</v>
      </c>
      <c r="Y103">
        <v>266</v>
      </c>
      <c r="Z103">
        <v>5154.5234399999999</v>
      </c>
      <c r="AA103">
        <v>0</v>
      </c>
    </row>
    <row r="104" spans="1:27" x14ac:dyDescent="0.2">
      <c r="A104">
        <v>267</v>
      </c>
      <c r="B104" t="s">
        <v>25</v>
      </c>
      <c r="C104" t="s">
        <v>42</v>
      </c>
      <c r="D104" t="s">
        <v>33</v>
      </c>
      <c r="E104">
        <v>2</v>
      </c>
      <c r="G104" t="s">
        <v>34</v>
      </c>
      <c r="H104">
        <v>4.9959999999999997E-2</v>
      </c>
      <c r="I104">
        <v>14.843830000000001</v>
      </c>
      <c r="J104">
        <v>4.9770000000000002E-2</v>
      </c>
      <c r="K104">
        <v>14.864330000000001</v>
      </c>
      <c r="L104">
        <f t="shared" si="11"/>
        <v>2.0500000000000185E-2</v>
      </c>
      <c r="M104">
        <f t="shared" si="12"/>
        <v>0.41189471569218772</v>
      </c>
      <c r="N104">
        <f t="shared" si="13"/>
        <v>2.0578259995981698E-2</v>
      </c>
      <c r="O104">
        <v>1576.5374999999999</v>
      </c>
      <c r="P104">
        <f t="shared" si="10"/>
        <v>76.611798097013505</v>
      </c>
      <c r="Q104">
        <v>18782.377985001189</v>
      </c>
      <c r="R104" t="s">
        <v>3</v>
      </c>
      <c r="S104">
        <v>2.7</v>
      </c>
      <c r="T104">
        <v>45.94</v>
      </c>
      <c r="U104" s="12">
        <v>21954.2</v>
      </c>
      <c r="V104">
        <v>68</v>
      </c>
      <c r="W104" s="12">
        <v>21937.735320000003</v>
      </c>
      <c r="X104">
        <v>66</v>
      </c>
      <c r="Y104">
        <v>267</v>
      </c>
      <c r="Z104">
        <v>5187.3833000000004</v>
      </c>
      <c r="AA104">
        <v>667.19304999999997</v>
      </c>
    </row>
    <row r="105" spans="1:27" x14ac:dyDescent="0.2">
      <c r="A105">
        <v>268</v>
      </c>
      <c r="B105" t="s">
        <v>29</v>
      </c>
      <c r="C105" t="s">
        <v>30</v>
      </c>
      <c r="D105" t="s">
        <v>27</v>
      </c>
      <c r="E105">
        <v>2</v>
      </c>
      <c r="G105" t="s">
        <v>39</v>
      </c>
      <c r="H105">
        <v>5.237E-2</v>
      </c>
      <c r="I105">
        <v>14.76338</v>
      </c>
      <c r="J105">
        <v>5.2909999999999999E-2</v>
      </c>
      <c r="K105">
        <v>14.786199999999999</v>
      </c>
      <c r="L105">
        <f t="shared" si="11"/>
        <v>2.2819999999999396E-2</v>
      </c>
      <c r="M105">
        <f t="shared" si="12"/>
        <v>0.43129843129841988</v>
      </c>
      <c r="N105">
        <f t="shared" si="13"/>
        <v>2.2587098847098249E-2</v>
      </c>
      <c r="O105">
        <v>3387.5587500000001</v>
      </c>
      <c r="P105">
        <f t="shared" si="10"/>
        <v>149.9775944193558</v>
      </c>
      <c r="Q105">
        <v>4328.5463876684407</v>
      </c>
      <c r="R105" t="s">
        <v>2</v>
      </c>
      <c r="S105">
        <v>2.82</v>
      </c>
      <c r="T105">
        <v>46.08</v>
      </c>
      <c r="U105" s="12">
        <v>42652.3</v>
      </c>
      <c r="V105">
        <v>75</v>
      </c>
      <c r="W105" s="12">
        <v>42629.661319999992</v>
      </c>
      <c r="X105">
        <v>74</v>
      </c>
      <c r="Y105">
        <v>268</v>
      </c>
      <c r="Z105">
        <v>5863.1367200000004</v>
      </c>
      <c r="AA105">
        <v>893.61432000000002</v>
      </c>
    </row>
    <row r="106" spans="1:27" x14ac:dyDescent="0.2">
      <c r="A106">
        <v>269</v>
      </c>
      <c r="B106" t="s">
        <v>29</v>
      </c>
      <c r="C106" t="s">
        <v>45</v>
      </c>
      <c r="D106" t="s">
        <v>33</v>
      </c>
      <c r="E106">
        <v>1</v>
      </c>
      <c r="G106" t="s">
        <v>31</v>
      </c>
      <c r="H106">
        <v>4.9779999999999998E-2</v>
      </c>
      <c r="I106">
        <v>14.952439999999999</v>
      </c>
      <c r="J106">
        <v>5.2060000000000002E-2</v>
      </c>
      <c r="K106">
        <v>14.97024</v>
      </c>
      <c r="L106">
        <f t="shared" si="11"/>
        <v>1.7800000000001148E-2</v>
      </c>
      <c r="M106">
        <f t="shared" si="12"/>
        <v>0.34191317710336433</v>
      </c>
      <c r="N106">
        <f t="shared" si="13"/>
        <v>1.7020437956205475E-2</v>
      </c>
      <c r="O106">
        <v>2279.3287500000001</v>
      </c>
      <c r="P106">
        <f t="shared" si="10"/>
        <v>133.91716217084652</v>
      </c>
      <c r="Q106">
        <v>68641.973168407683</v>
      </c>
      <c r="R106" t="s">
        <v>3</v>
      </c>
      <c r="S106">
        <v>2.65</v>
      </c>
      <c r="T106">
        <v>46.5</v>
      </c>
      <c r="U106" s="12">
        <v>33689.9</v>
      </c>
      <c r="V106">
        <v>76</v>
      </c>
      <c r="W106" s="12">
        <v>33684.334260000003</v>
      </c>
      <c r="X106">
        <v>75</v>
      </c>
      <c r="Y106">
        <v>269</v>
      </c>
      <c r="Z106" s="14">
        <v>1863.84412</v>
      </c>
      <c r="AA106">
        <v>5275.90967</v>
      </c>
    </row>
    <row r="107" spans="1:27" x14ac:dyDescent="0.2">
      <c r="A107">
        <v>271</v>
      </c>
      <c r="B107" t="s">
        <v>35</v>
      </c>
      <c r="C107" t="s">
        <v>26</v>
      </c>
      <c r="D107" t="s">
        <v>27</v>
      </c>
      <c r="E107">
        <v>2</v>
      </c>
      <c r="G107" t="s">
        <v>28</v>
      </c>
      <c r="H107">
        <v>5.194E-2</v>
      </c>
      <c r="I107">
        <v>14.87467</v>
      </c>
      <c r="J107">
        <v>5.1209999999999999E-2</v>
      </c>
      <c r="K107">
        <v>14.897180000000001</v>
      </c>
      <c r="L107">
        <f t="shared" si="11"/>
        <v>2.2510000000000474E-2</v>
      </c>
      <c r="M107">
        <f t="shared" si="12"/>
        <v>0.43956258543254195</v>
      </c>
      <c r="N107">
        <f t="shared" si="13"/>
        <v>2.2830880687366228E-2</v>
      </c>
      <c r="O107">
        <v>3408.3512500000002</v>
      </c>
      <c r="P107">
        <f t="shared" si="10"/>
        <v>149.28689333854987</v>
      </c>
      <c r="Q107">
        <v>9854.7028210180397</v>
      </c>
      <c r="R107" t="s">
        <v>3</v>
      </c>
      <c r="S107">
        <v>3.47</v>
      </c>
      <c r="T107">
        <v>45.61</v>
      </c>
      <c r="U107" s="12">
        <v>28791.4</v>
      </c>
      <c r="V107">
        <v>69</v>
      </c>
      <c r="W107" s="12">
        <v>28783.068419999992</v>
      </c>
      <c r="X107">
        <v>67</v>
      </c>
      <c r="Y107">
        <v>271</v>
      </c>
      <c r="Z107">
        <v>1855.3947800000001</v>
      </c>
      <c r="AA107">
        <v>0</v>
      </c>
    </row>
    <row r="108" spans="1:27" x14ac:dyDescent="0.2">
      <c r="A108">
        <v>272</v>
      </c>
      <c r="B108" t="s">
        <v>35</v>
      </c>
      <c r="C108" t="s">
        <v>26</v>
      </c>
      <c r="D108" t="s">
        <v>27</v>
      </c>
      <c r="E108">
        <v>1</v>
      </c>
      <c r="G108" t="s">
        <v>34</v>
      </c>
      <c r="H108">
        <v>4.965E-2</v>
      </c>
      <c r="I108">
        <v>14.984220000000001</v>
      </c>
      <c r="J108">
        <v>5.0569999999999997E-2</v>
      </c>
      <c r="K108">
        <v>15.009219999999999</v>
      </c>
      <c r="L108">
        <f t="shared" si="11"/>
        <v>2.4999999999998579E-2</v>
      </c>
      <c r="M108">
        <f t="shared" si="12"/>
        <v>0.49436424757758712</v>
      </c>
      <c r="N108">
        <f t="shared" si="13"/>
        <v>2.45451848922272E-2</v>
      </c>
      <c r="O108">
        <v>2892.2312499999998</v>
      </c>
      <c r="P108">
        <f t="shared" si="10"/>
        <v>117.83293801611948</v>
      </c>
      <c r="Q108">
        <v>2673.6100414695106</v>
      </c>
      <c r="R108" t="s">
        <v>2</v>
      </c>
      <c r="S108">
        <v>3.17</v>
      </c>
      <c r="T108">
        <v>44.32</v>
      </c>
      <c r="U108" s="12">
        <v>37554.800000000003</v>
      </c>
      <c r="V108">
        <v>68</v>
      </c>
      <c r="W108" s="12">
        <v>37554.800000000003</v>
      </c>
      <c r="X108">
        <v>68</v>
      </c>
      <c r="Y108">
        <v>272</v>
      </c>
      <c r="Z108">
        <v>6642.0107399999997</v>
      </c>
      <c r="AA108">
        <v>625.44732999999997</v>
      </c>
    </row>
    <row r="109" spans="1:27" x14ac:dyDescent="0.2">
      <c r="A109">
        <v>273</v>
      </c>
      <c r="B109" t="s">
        <v>29</v>
      </c>
      <c r="C109" t="s">
        <v>45</v>
      </c>
      <c r="D109" t="s">
        <v>33</v>
      </c>
      <c r="E109">
        <v>2</v>
      </c>
      <c r="G109" t="s">
        <v>28</v>
      </c>
      <c r="H109">
        <v>5.1810000000000002E-2</v>
      </c>
      <c r="I109">
        <v>14.891489999999999</v>
      </c>
      <c r="J109">
        <v>4.99E-2</v>
      </c>
      <c r="K109">
        <v>14.91159</v>
      </c>
      <c r="L109">
        <f t="shared" si="11"/>
        <v>2.0100000000001117E-2</v>
      </c>
      <c r="M109">
        <f t="shared" si="12"/>
        <v>0.40280561122246727</v>
      </c>
      <c r="N109">
        <f t="shared" si="13"/>
        <v>2.0869358717436032E-2</v>
      </c>
      <c r="O109">
        <v>2551.9799999999996</v>
      </c>
      <c r="P109">
        <f t="shared" si="10"/>
        <v>122.28358497033543</v>
      </c>
      <c r="Q109">
        <v>46765.027245823665</v>
      </c>
      <c r="R109" t="s">
        <v>3</v>
      </c>
      <c r="S109">
        <v>3.99</v>
      </c>
      <c r="T109">
        <v>44.63</v>
      </c>
      <c r="U109" s="12">
        <v>29181.599999999999</v>
      </c>
      <c r="V109">
        <v>76</v>
      </c>
      <c r="W109" s="12">
        <v>29176.705760000001</v>
      </c>
      <c r="X109">
        <v>75</v>
      </c>
      <c r="Y109">
        <v>273</v>
      </c>
      <c r="Z109">
        <v>112.91674999999999</v>
      </c>
      <c r="AA109">
        <v>894.32825000000003</v>
      </c>
    </row>
    <row r="110" spans="1:27" x14ac:dyDescent="0.2">
      <c r="A110">
        <v>281</v>
      </c>
      <c r="B110" t="s">
        <v>25</v>
      </c>
      <c r="C110" t="s">
        <v>26</v>
      </c>
      <c r="D110" t="s">
        <v>27</v>
      </c>
      <c r="E110">
        <v>3</v>
      </c>
      <c r="F110" t="s">
        <v>40</v>
      </c>
      <c r="G110" t="s">
        <v>39</v>
      </c>
      <c r="H110">
        <v>4.9509999999999998E-2</v>
      </c>
      <c r="I110">
        <v>14.943</v>
      </c>
      <c r="J110">
        <v>5.0169999999999999E-2</v>
      </c>
      <c r="K110">
        <v>14.96428</v>
      </c>
      <c r="L110">
        <f t="shared" si="11"/>
        <v>2.1280000000000854E-2</v>
      </c>
      <c r="M110">
        <f t="shared" si="12"/>
        <v>0.42415786326491639</v>
      </c>
      <c r="N110">
        <f t="shared" si="13"/>
        <v>2.1000055810246009E-2</v>
      </c>
      <c r="O110">
        <v>2271.7237500000001</v>
      </c>
      <c r="P110">
        <f t="shared" si="10"/>
        <v>108.17703393395827</v>
      </c>
      <c r="Q110">
        <v>2854.543238436192</v>
      </c>
      <c r="R110" t="s">
        <v>2</v>
      </c>
      <c r="S110">
        <v>3.59</v>
      </c>
      <c r="T110">
        <v>43.54</v>
      </c>
      <c r="U110" s="12">
        <v>24769.4</v>
      </c>
      <c r="V110">
        <v>52</v>
      </c>
      <c r="W110" s="12">
        <v>24760.418000000009</v>
      </c>
      <c r="X110">
        <v>50</v>
      </c>
      <c r="Y110">
        <v>281</v>
      </c>
      <c r="Z110">
        <v>1136.11646</v>
      </c>
      <c r="AA110">
        <v>0</v>
      </c>
    </row>
    <row r="111" spans="1:27" x14ac:dyDescent="0.2">
      <c r="A111">
        <v>282</v>
      </c>
      <c r="B111" t="s">
        <v>29</v>
      </c>
      <c r="C111" t="s">
        <v>30</v>
      </c>
      <c r="D111" t="s">
        <v>27</v>
      </c>
      <c r="E111">
        <v>2</v>
      </c>
      <c r="G111" t="s">
        <v>28</v>
      </c>
      <c r="H111">
        <v>4.9259999999999998E-2</v>
      </c>
      <c r="I111">
        <v>14.959899999999999</v>
      </c>
      <c r="J111">
        <v>5.178E-2</v>
      </c>
      <c r="K111">
        <v>14.97932</v>
      </c>
      <c r="L111">
        <f t="shared" si="11"/>
        <v>1.9420000000000215E-2</v>
      </c>
      <c r="M111">
        <f t="shared" si="12"/>
        <v>0.37504828118965267</v>
      </c>
      <c r="N111">
        <f t="shared" si="13"/>
        <v>1.8474878331402291E-2</v>
      </c>
      <c r="O111">
        <v>2325.9087499999996</v>
      </c>
      <c r="P111">
        <f t="shared" si="10"/>
        <v>125.89575467171464</v>
      </c>
      <c r="Q111">
        <v>3115.1086756616542</v>
      </c>
      <c r="R111" t="s">
        <v>2</v>
      </c>
      <c r="S111">
        <v>2.34</v>
      </c>
      <c r="T111">
        <v>45.03</v>
      </c>
      <c r="U111" s="12">
        <v>34547.699999999997</v>
      </c>
      <c r="V111">
        <v>70</v>
      </c>
      <c r="W111" s="12">
        <v>34547.699999999997</v>
      </c>
      <c r="X111">
        <v>70</v>
      </c>
      <c r="Y111">
        <v>282</v>
      </c>
      <c r="Z111">
        <v>4637.8857399999997</v>
      </c>
      <c r="AA111">
        <v>755.73461999999995</v>
      </c>
    </row>
    <row r="112" spans="1:27" x14ac:dyDescent="0.2">
      <c r="A112">
        <v>287</v>
      </c>
      <c r="B112" t="s">
        <v>35</v>
      </c>
      <c r="C112" t="s">
        <v>30</v>
      </c>
      <c r="D112" t="s">
        <v>27</v>
      </c>
      <c r="E112">
        <v>1</v>
      </c>
      <c r="F112" t="s">
        <v>40</v>
      </c>
      <c r="G112" t="s">
        <v>39</v>
      </c>
      <c r="H112">
        <v>4.9709999999999997E-2</v>
      </c>
      <c r="I112">
        <v>14.918049999999999</v>
      </c>
      <c r="J112">
        <v>5.1999999999999998E-2</v>
      </c>
      <c r="K112">
        <v>14.93942</v>
      </c>
      <c r="L112">
        <f t="shared" si="11"/>
        <v>2.1370000000000999E-2</v>
      </c>
      <c r="M112">
        <f t="shared" si="12"/>
        <v>0.4109615384615577</v>
      </c>
      <c r="N112">
        <f t="shared" si="13"/>
        <v>2.0428898076924031E-2</v>
      </c>
      <c r="O112">
        <v>2398.3187499999999</v>
      </c>
      <c r="P112">
        <f t="shared" si="10"/>
        <v>117.39834135787679</v>
      </c>
      <c r="Q112">
        <v>18274.468972377403</v>
      </c>
      <c r="R112" t="s">
        <v>3</v>
      </c>
      <c r="S112">
        <v>2.56</v>
      </c>
      <c r="T112">
        <v>42.08</v>
      </c>
      <c r="U112" s="12">
        <v>36072.6</v>
      </c>
      <c r="V112">
        <v>72</v>
      </c>
      <c r="W112" s="12">
        <v>36066.621760000002</v>
      </c>
      <c r="X112">
        <v>71</v>
      </c>
      <c r="Y112">
        <v>287</v>
      </c>
      <c r="Z112" s="14">
        <v>2278.1835900000001</v>
      </c>
      <c r="AA112">
        <v>1031.4444599999999</v>
      </c>
    </row>
    <row r="113" spans="1:27" x14ac:dyDescent="0.2">
      <c r="A113">
        <v>288</v>
      </c>
      <c r="B113" t="s">
        <v>35</v>
      </c>
      <c r="C113" t="s">
        <v>36</v>
      </c>
      <c r="D113" t="s">
        <v>27</v>
      </c>
      <c r="E113">
        <v>3</v>
      </c>
      <c r="G113" t="s">
        <v>34</v>
      </c>
      <c r="H113">
        <v>5.0500000000000003E-2</v>
      </c>
      <c r="I113">
        <v>14.882</v>
      </c>
      <c r="J113">
        <v>5.0599999999999999E-2</v>
      </c>
      <c r="K113">
        <v>14.907249999999999</v>
      </c>
      <c r="L113">
        <f t="shared" si="11"/>
        <v>2.5249999999999773E-2</v>
      </c>
      <c r="M113">
        <f t="shared" si="12"/>
        <v>0.49901185770750539</v>
      </c>
      <c r="N113">
        <f t="shared" si="13"/>
        <v>2.5200098814229025E-2</v>
      </c>
      <c r="O113">
        <v>2263.4249999999997</v>
      </c>
      <c r="P113">
        <f t="shared" si="10"/>
        <v>89.818100186257041</v>
      </c>
      <c r="Q113">
        <v>810.95862880076152</v>
      </c>
      <c r="R113" t="s">
        <v>2</v>
      </c>
      <c r="S113">
        <v>3.12</v>
      </c>
      <c r="T113">
        <v>44.12</v>
      </c>
      <c r="U113" s="12">
        <v>34099.1</v>
      </c>
      <c r="V113">
        <v>80</v>
      </c>
      <c r="W113" s="12">
        <v>34074.257440000001</v>
      </c>
      <c r="X113">
        <v>79</v>
      </c>
      <c r="Y113">
        <v>288</v>
      </c>
      <c r="Z113">
        <v>6026.7299800000001</v>
      </c>
      <c r="AA113">
        <v>1048.7591600000001</v>
      </c>
    </row>
    <row r="114" spans="1:27" x14ac:dyDescent="0.2">
      <c r="A114">
        <v>290</v>
      </c>
      <c r="B114" t="s">
        <v>25</v>
      </c>
      <c r="C114" t="s">
        <v>48</v>
      </c>
      <c r="D114" t="s">
        <v>27</v>
      </c>
      <c r="E114">
        <v>3</v>
      </c>
      <c r="F114" t="s">
        <v>40</v>
      </c>
      <c r="G114" t="s">
        <v>31</v>
      </c>
      <c r="H114">
        <v>4.922E-2</v>
      </c>
      <c r="I114">
        <v>14.858750000000001</v>
      </c>
      <c r="J114">
        <v>5.1279999999999999E-2</v>
      </c>
      <c r="K114">
        <v>14.882070000000001</v>
      </c>
      <c r="L114">
        <f t="shared" si="11"/>
        <v>2.3320000000000007E-2</v>
      </c>
      <c r="M114">
        <f t="shared" si="12"/>
        <v>0.45475819032761328</v>
      </c>
      <c r="N114">
        <f t="shared" si="13"/>
        <v>2.2383198127925125E-2</v>
      </c>
      <c r="O114">
        <v>2516.4812499999998</v>
      </c>
      <c r="P114">
        <f t="shared" si="10"/>
        <v>112.42724277459061</v>
      </c>
      <c r="Q114">
        <v>19126.159243715065</v>
      </c>
      <c r="R114" t="s">
        <v>3</v>
      </c>
      <c r="S114">
        <v>2.69</v>
      </c>
      <c r="T114">
        <v>45.64</v>
      </c>
      <c r="U114" s="12">
        <v>36638.400000000001</v>
      </c>
      <c r="V114">
        <v>70</v>
      </c>
      <c r="W114" s="12">
        <v>36619.012930000012</v>
      </c>
      <c r="X114">
        <v>68</v>
      </c>
      <c r="Y114">
        <v>290</v>
      </c>
      <c r="Z114">
        <v>8002.2168000000001</v>
      </c>
      <c r="AA114">
        <v>0</v>
      </c>
    </row>
    <row r="115" spans="1:27" x14ac:dyDescent="0.2">
      <c r="A115">
        <v>291</v>
      </c>
      <c r="B115" t="s">
        <v>25</v>
      </c>
      <c r="C115" t="s">
        <v>32</v>
      </c>
      <c r="D115" t="s">
        <v>27</v>
      </c>
      <c r="E115">
        <v>1</v>
      </c>
      <c r="F115" t="s">
        <v>40</v>
      </c>
      <c r="G115" t="s">
        <v>28</v>
      </c>
      <c r="H115">
        <v>4.8829999999999998E-2</v>
      </c>
      <c r="I115">
        <v>14.920070000000001</v>
      </c>
      <c r="J115">
        <v>4.82E-2</v>
      </c>
      <c r="K115">
        <v>14.94021</v>
      </c>
      <c r="L115">
        <f t="shared" si="11"/>
        <v>2.0139999999999603E-2</v>
      </c>
      <c r="M115">
        <f t="shared" si="12"/>
        <v>0.41784232365144403</v>
      </c>
      <c r="N115">
        <f t="shared" si="13"/>
        <v>2.0403240663900011E-2</v>
      </c>
      <c r="O115">
        <v>1828.2049999999999</v>
      </c>
      <c r="P115">
        <f t="shared" si="10"/>
        <v>89.603658071567565</v>
      </c>
      <c r="Q115">
        <v>15002.47465528823</v>
      </c>
      <c r="R115" t="s">
        <v>3</v>
      </c>
      <c r="S115">
        <v>2.12</v>
      </c>
      <c r="T115">
        <v>44.57</v>
      </c>
      <c r="U115" s="12">
        <v>20398.3</v>
      </c>
      <c r="V115">
        <v>80</v>
      </c>
      <c r="W115" s="12">
        <v>20356.308059999996</v>
      </c>
      <c r="X115">
        <v>78</v>
      </c>
      <c r="Y115">
        <v>291</v>
      </c>
      <c r="Z115">
        <v>3681.1855500000001</v>
      </c>
      <c r="AA115">
        <v>0</v>
      </c>
    </row>
    <row r="116" spans="1:27" x14ac:dyDescent="0.2">
      <c r="A116">
        <v>293</v>
      </c>
      <c r="B116" t="s">
        <v>25</v>
      </c>
      <c r="C116" t="s">
        <v>42</v>
      </c>
      <c r="D116" t="s">
        <v>27</v>
      </c>
      <c r="E116">
        <v>4</v>
      </c>
      <c r="F116" t="s">
        <v>40</v>
      </c>
      <c r="G116" t="s">
        <v>31</v>
      </c>
      <c r="H116">
        <v>5.0659999999999997E-2</v>
      </c>
      <c r="I116">
        <v>14.958030000000001</v>
      </c>
      <c r="J116">
        <v>5.151E-2</v>
      </c>
      <c r="K116">
        <v>14.97986</v>
      </c>
      <c r="L116">
        <f t="shared" si="11"/>
        <v>2.1829999999999572E-2</v>
      </c>
      <c r="M116">
        <f t="shared" si="12"/>
        <v>0.42380120364976842</v>
      </c>
      <c r="N116">
        <f t="shared" si="13"/>
        <v>2.1469768976897268E-2</v>
      </c>
      <c r="O116">
        <v>1869.11625</v>
      </c>
      <c r="P116">
        <f t="shared" si="10"/>
        <v>87.058051347048902</v>
      </c>
      <c r="Q116">
        <v>15841.305495682434</v>
      </c>
      <c r="R116" t="s">
        <v>3</v>
      </c>
      <c r="S116">
        <v>3.95</v>
      </c>
      <c r="T116">
        <v>44.27</v>
      </c>
      <c r="U116" s="12">
        <v>25971.3</v>
      </c>
      <c r="V116">
        <v>71</v>
      </c>
      <c r="W116" s="12">
        <v>25966.198779999999</v>
      </c>
      <c r="X116">
        <v>70</v>
      </c>
      <c r="Y116">
        <v>293</v>
      </c>
      <c r="Z116">
        <v>4849.3247099999999</v>
      </c>
      <c r="AA116">
        <v>0</v>
      </c>
    </row>
    <row r="117" spans="1:27" x14ac:dyDescent="0.2">
      <c r="A117">
        <v>294</v>
      </c>
      <c r="B117" t="s">
        <v>29</v>
      </c>
      <c r="C117" t="s">
        <v>26</v>
      </c>
      <c r="D117" t="s">
        <v>33</v>
      </c>
      <c r="E117">
        <v>1</v>
      </c>
      <c r="G117" t="s">
        <v>28</v>
      </c>
      <c r="H117">
        <v>4.9090000000000002E-2</v>
      </c>
      <c r="I117">
        <v>14.86755</v>
      </c>
      <c r="J117">
        <v>4.9619999999999997E-2</v>
      </c>
      <c r="K117">
        <v>14.88822</v>
      </c>
      <c r="L117">
        <f t="shared" si="11"/>
        <v>2.0670000000000854E-2</v>
      </c>
      <c r="M117">
        <f t="shared" si="12"/>
        <v>0.41656590084645012</v>
      </c>
      <c r="N117">
        <f t="shared" si="13"/>
        <v>2.0449220072552236E-2</v>
      </c>
      <c r="O117">
        <v>2450.06</v>
      </c>
      <c r="P117">
        <f t="shared" si="10"/>
        <v>119.81190438106582</v>
      </c>
      <c r="Q117">
        <v>42213.354291614996</v>
      </c>
      <c r="R117" t="s">
        <v>3</v>
      </c>
      <c r="S117">
        <v>3.14</v>
      </c>
      <c r="T117">
        <v>45.51</v>
      </c>
      <c r="U117" s="12">
        <v>24489</v>
      </c>
      <c r="V117">
        <v>63</v>
      </c>
      <c r="W117" s="12">
        <v>24481.717769999999</v>
      </c>
      <c r="X117">
        <v>62</v>
      </c>
      <c r="Y117">
        <v>294</v>
      </c>
      <c r="Z117" s="14">
        <v>2049.4143100000001</v>
      </c>
      <c r="AA117">
        <v>1826.6790800000001</v>
      </c>
    </row>
    <row r="118" spans="1:27" x14ac:dyDescent="0.2">
      <c r="A118">
        <v>296</v>
      </c>
      <c r="B118" t="s">
        <v>35</v>
      </c>
      <c r="C118" t="s">
        <v>26</v>
      </c>
      <c r="D118" t="s">
        <v>27</v>
      </c>
      <c r="E118">
        <v>1</v>
      </c>
      <c r="G118" t="s">
        <v>39</v>
      </c>
      <c r="H118">
        <v>5.4199999999999998E-2</v>
      </c>
      <c r="I118">
        <v>14.895569999999999</v>
      </c>
      <c r="J118">
        <v>5.1720000000000002E-2</v>
      </c>
      <c r="K118">
        <v>14.920970000000001</v>
      </c>
      <c r="L118">
        <f t="shared" si="11"/>
        <v>2.5400000000001199E-2</v>
      </c>
      <c r="M118">
        <f t="shared" si="12"/>
        <v>0.49110595514310129</v>
      </c>
      <c r="N118">
        <f t="shared" si="13"/>
        <v>2.6617942768756089E-2</v>
      </c>
      <c r="O118">
        <v>3961.85</v>
      </c>
      <c r="P118">
        <f t="shared" si="10"/>
        <v>148.84132986604754</v>
      </c>
      <c r="Q118">
        <v>9525.0193755613454</v>
      </c>
      <c r="R118" t="s">
        <v>3</v>
      </c>
      <c r="S118">
        <v>3.49</v>
      </c>
      <c r="T118">
        <v>44.43</v>
      </c>
      <c r="U118" s="12">
        <v>24346.9</v>
      </c>
      <c r="V118">
        <v>64</v>
      </c>
      <c r="W118" s="12">
        <v>24315.286410000001</v>
      </c>
      <c r="X118">
        <v>63</v>
      </c>
      <c r="Y118">
        <v>296</v>
      </c>
      <c r="Z118" s="14">
        <v>3627.9296899999999</v>
      </c>
      <c r="AA118">
        <v>0</v>
      </c>
    </row>
    <row r="119" spans="1:27" x14ac:dyDescent="0.2">
      <c r="A119">
        <v>300</v>
      </c>
      <c r="B119" t="s">
        <v>29</v>
      </c>
      <c r="C119" t="s">
        <v>43</v>
      </c>
      <c r="D119" t="s">
        <v>27</v>
      </c>
      <c r="E119">
        <v>1</v>
      </c>
      <c r="F119" t="s">
        <v>40</v>
      </c>
      <c r="G119" t="s">
        <v>28</v>
      </c>
      <c r="H119">
        <v>5.0110000000000002E-2</v>
      </c>
      <c r="I119">
        <v>14.90297</v>
      </c>
      <c r="J119">
        <v>5.0700000000000002E-2</v>
      </c>
      <c r="K119">
        <v>14.92571</v>
      </c>
      <c r="L119">
        <f t="shared" si="11"/>
        <v>2.2740000000000649E-2</v>
      </c>
      <c r="M119">
        <f t="shared" si="12"/>
        <v>0.44852071005918437</v>
      </c>
      <c r="N119">
        <f t="shared" si="13"/>
        <v>2.247537278106573E-2</v>
      </c>
      <c r="O119">
        <v>3998.25</v>
      </c>
      <c r="P119">
        <f t="shared" si="10"/>
        <v>177.89471342465592</v>
      </c>
      <c r="Q119">
        <v>8539.7738513755612</v>
      </c>
      <c r="R119" t="s">
        <v>3</v>
      </c>
      <c r="S119">
        <v>3.78</v>
      </c>
      <c r="T119">
        <v>45.43</v>
      </c>
      <c r="U119" s="12">
        <v>20079.8</v>
      </c>
      <c r="V119">
        <v>65</v>
      </c>
      <c r="W119" s="12">
        <v>20079.8</v>
      </c>
      <c r="X119">
        <v>65</v>
      </c>
      <c r="Y119">
        <v>300</v>
      </c>
      <c r="Z119">
        <v>701.65557999999999</v>
      </c>
      <c r="AA119">
        <v>1063.44678</v>
      </c>
    </row>
    <row r="120" spans="1:27" x14ac:dyDescent="0.2">
      <c r="A120">
        <v>302</v>
      </c>
      <c r="B120" t="s">
        <v>29</v>
      </c>
      <c r="C120" t="s">
        <v>48</v>
      </c>
      <c r="D120" t="s">
        <v>33</v>
      </c>
      <c r="E120">
        <v>1</v>
      </c>
      <c r="F120" t="s">
        <v>40</v>
      </c>
      <c r="G120" t="s">
        <v>28</v>
      </c>
      <c r="H120">
        <v>4.9709999999999997E-2</v>
      </c>
      <c r="I120">
        <v>14.96381</v>
      </c>
      <c r="J120">
        <v>5.194E-2</v>
      </c>
      <c r="K120">
        <v>14.98339</v>
      </c>
      <c r="L120">
        <f t="shared" si="11"/>
        <v>1.9579999999999487E-2</v>
      </c>
      <c r="M120">
        <f t="shared" si="12"/>
        <v>0.37697343088177682</v>
      </c>
      <c r="N120">
        <f t="shared" si="13"/>
        <v>1.8739349249133126E-2</v>
      </c>
      <c r="O120">
        <v>2764.8974999999996</v>
      </c>
      <c r="P120">
        <f t="shared" si="10"/>
        <v>147.5450114751398</v>
      </c>
      <c r="Q120">
        <v>51031.515429027189</v>
      </c>
      <c r="R120" t="s">
        <v>3</v>
      </c>
      <c r="S120">
        <v>3.5</v>
      </c>
      <c r="T120">
        <v>44.88</v>
      </c>
      <c r="U120" s="12">
        <v>21593.7</v>
      </c>
      <c r="V120">
        <v>71</v>
      </c>
      <c r="W120" s="12">
        <v>21593.7</v>
      </c>
      <c r="X120">
        <v>71</v>
      </c>
      <c r="Y120">
        <v>302</v>
      </c>
      <c r="Z120">
        <v>2116.0939899999998</v>
      </c>
      <c r="AA120">
        <v>1769.73389</v>
      </c>
    </row>
    <row r="121" spans="1:27" x14ac:dyDescent="0.2">
      <c r="A121">
        <v>304</v>
      </c>
      <c r="B121" t="s">
        <v>29</v>
      </c>
      <c r="C121" t="s">
        <v>30</v>
      </c>
      <c r="D121" t="s">
        <v>33</v>
      </c>
      <c r="E121">
        <v>1</v>
      </c>
      <c r="G121" t="s">
        <v>34</v>
      </c>
      <c r="H121">
        <v>4.9279999999999997E-2</v>
      </c>
      <c r="I121">
        <v>15.12172</v>
      </c>
      <c r="J121">
        <v>4.9619999999999997E-2</v>
      </c>
      <c r="K121">
        <v>15.13897</v>
      </c>
      <c r="L121">
        <f t="shared" si="11"/>
        <v>1.7250000000000654E-2</v>
      </c>
      <c r="M121">
        <f t="shared" si="12"/>
        <v>0.34764207980654283</v>
      </c>
      <c r="N121">
        <f t="shared" si="13"/>
        <v>1.7131801692866429E-2</v>
      </c>
      <c r="O121">
        <v>2599.7474999999995</v>
      </c>
      <c r="P121">
        <f t="shared" si="10"/>
        <v>151.74980113635786</v>
      </c>
      <c r="Q121">
        <v>50039.998439769202</v>
      </c>
      <c r="R121" t="s">
        <v>3</v>
      </c>
      <c r="S121">
        <v>3.28</v>
      </c>
      <c r="T121">
        <v>47.02</v>
      </c>
      <c r="U121" s="12">
        <v>35718.199999999997</v>
      </c>
      <c r="V121">
        <v>74</v>
      </c>
      <c r="W121" s="12">
        <v>35718.199999999997</v>
      </c>
      <c r="X121">
        <v>74</v>
      </c>
      <c r="Y121">
        <v>304</v>
      </c>
      <c r="Z121">
        <v>2423.7478000000001</v>
      </c>
      <c r="AA121">
        <v>1097.6997100000001</v>
      </c>
    </row>
    <row r="122" spans="1:27" x14ac:dyDescent="0.2">
      <c r="A122">
        <v>305</v>
      </c>
      <c r="B122" t="s">
        <v>35</v>
      </c>
      <c r="C122" t="s">
        <v>36</v>
      </c>
      <c r="D122" t="s">
        <v>27</v>
      </c>
      <c r="E122">
        <v>3</v>
      </c>
      <c r="G122" t="s">
        <v>28</v>
      </c>
      <c r="H122">
        <v>5.1490000000000001E-2</v>
      </c>
      <c r="I122">
        <v>14.967980000000001</v>
      </c>
      <c r="J122">
        <v>4.8890000000000003E-2</v>
      </c>
      <c r="K122">
        <v>14.9915</v>
      </c>
      <c r="L122">
        <f t="shared" si="11"/>
        <v>2.3519999999999541E-2</v>
      </c>
      <c r="M122">
        <f t="shared" si="12"/>
        <v>0.4810799754550939</v>
      </c>
      <c r="N122">
        <f t="shared" si="13"/>
        <v>2.4770807936182786E-2</v>
      </c>
      <c r="O122">
        <v>4481.8425000000007</v>
      </c>
      <c r="P122">
        <f t="shared" si="10"/>
        <v>180.93243109173525</v>
      </c>
      <c r="Q122">
        <v>16710.835275770762</v>
      </c>
      <c r="R122" t="s">
        <v>3</v>
      </c>
      <c r="S122">
        <v>4.01</v>
      </c>
      <c r="T122">
        <v>44.34</v>
      </c>
      <c r="U122" s="12">
        <v>45627.1</v>
      </c>
      <c r="V122">
        <v>81</v>
      </c>
      <c r="W122" s="12">
        <v>45602.952280000027</v>
      </c>
      <c r="X122">
        <v>78</v>
      </c>
      <c r="Y122">
        <v>305</v>
      </c>
      <c r="Z122">
        <v>5738.4799800000001</v>
      </c>
      <c r="AA122">
        <v>979.06737999999996</v>
      </c>
    </row>
    <row r="123" spans="1:27" x14ac:dyDescent="0.2">
      <c r="A123">
        <v>311</v>
      </c>
      <c r="B123" t="s">
        <v>29</v>
      </c>
      <c r="C123" t="s">
        <v>42</v>
      </c>
      <c r="D123" t="s">
        <v>33</v>
      </c>
      <c r="E123">
        <v>2</v>
      </c>
      <c r="G123" t="s">
        <v>39</v>
      </c>
      <c r="H123">
        <v>5.0639999999999998E-2</v>
      </c>
      <c r="I123">
        <v>15.074999999999999</v>
      </c>
      <c r="J123">
        <v>5.1389999999999998E-2</v>
      </c>
      <c r="K123">
        <v>15.09266</v>
      </c>
      <c r="L123">
        <f t="shared" si="11"/>
        <v>1.7660000000001119E-2</v>
      </c>
      <c r="M123">
        <f t="shared" si="12"/>
        <v>0.34364662385680328</v>
      </c>
      <c r="N123">
        <f t="shared" si="13"/>
        <v>1.7402265032108517E-2</v>
      </c>
      <c r="O123">
        <v>2474.8475000000003</v>
      </c>
      <c r="P123">
        <f t="shared" si="10"/>
        <v>142.2141023271233</v>
      </c>
      <c r="Q123">
        <v>100740.31275186824</v>
      </c>
      <c r="R123" t="s">
        <v>3</v>
      </c>
      <c r="S123">
        <v>3.875</v>
      </c>
      <c r="T123">
        <v>44.755000000000003</v>
      </c>
      <c r="U123" s="12">
        <v>10046.4</v>
      </c>
      <c r="V123">
        <v>63</v>
      </c>
      <c r="W123" s="12">
        <v>10046.4</v>
      </c>
      <c r="X123">
        <v>63</v>
      </c>
      <c r="Y123">
        <v>311</v>
      </c>
      <c r="Z123">
        <v>1413.4744900000001</v>
      </c>
      <c r="AA123">
        <v>0</v>
      </c>
    </row>
    <row r="124" spans="1:27" x14ac:dyDescent="0.2">
      <c r="A124">
        <v>314</v>
      </c>
      <c r="B124" t="s">
        <v>25</v>
      </c>
      <c r="C124" t="s">
        <v>32</v>
      </c>
      <c r="D124" t="s">
        <v>27</v>
      </c>
      <c r="E124">
        <v>1</v>
      </c>
      <c r="H124">
        <v>4.9450000000000001E-2</v>
      </c>
      <c r="I124">
        <v>15.01939</v>
      </c>
      <c r="J124">
        <v>5.1380000000000002E-2</v>
      </c>
      <c r="K124">
        <v>15.040570000000001</v>
      </c>
      <c r="L124">
        <f t="shared" si="11"/>
        <v>2.1180000000001087E-2</v>
      </c>
      <c r="M124">
        <f t="shared" si="12"/>
        <v>0.41222265472948788</v>
      </c>
      <c r="N124">
        <f t="shared" si="13"/>
        <v>2.0384410276373176E-2</v>
      </c>
      <c r="O124">
        <v>1817.4587500000002</v>
      </c>
      <c r="P124">
        <f t="shared" si="10"/>
        <v>89.159250886279025</v>
      </c>
      <c r="Q124">
        <v>33284.635523539029</v>
      </c>
      <c r="R124" t="s">
        <v>3</v>
      </c>
      <c r="S124">
        <v>3.34</v>
      </c>
      <c r="T124">
        <v>46.11</v>
      </c>
      <c r="U124" s="12">
        <v>27389.5</v>
      </c>
      <c r="V124">
        <v>81</v>
      </c>
      <c r="W124" s="12">
        <v>27384.375850000004</v>
      </c>
      <c r="X124">
        <v>80</v>
      </c>
      <c r="Y124">
        <v>314</v>
      </c>
      <c r="Z124">
        <v>6968.8393599999999</v>
      </c>
      <c r="AA124">
        <v>925.40381000000002</v>
      </c>
    </row>
    <row r="125" spans="1:27" x14ac:dyDescent="0.2">
      <c r="A125">
        <v>320</v>
      </c>
      <c r="B125" t="s">
        <v>25</v>
      </c>
      <c r="C125" t="s">
        <v>45</v>
      </c>
      <c r="D125" t="s">
        <v>33</v>
      </c>
      <c r="E125">
        <v>3</v>
      </c>
      <c r="G125" t="s">
        <v>28</v>
      </c>
      <c r="H125">
        <v>5.1159999999999997E-2</v>
      </c>
      <c r="I125">
        <v>14.8843</v>
      </c>
      <c r="J125">
        <v>4.8140000000000002E-2</v>
      </c>
      <c r="K125">
        <v>14.907500000000001</v>
      </c>
      <c r="L125">
        <f t="shared" si="11"/>
        <v>2.3200000000000998E-2</v>
      </c>
      <c r="M125">
        <f t="shared" si="12"/>
        <v>0.4819277108433942</v>
      </c>
      <c r="N125">
        <f t="shared" si="13"/>
        <v>2.4655421686748044E-2</v>
      </c>
      <c r="O125">
        <v>4875.1487499999994</v>
      </c>
      <c r="P125">
        <f t="shared" si="10"/>
        <v>197.73130680706734</v>
      </c>
      <c r="Q125">
        <v>40478.780456603155</v>
      </c>
      <c r="R125" t="s">
        <v>3</v>
      </c>
      <c r="S125">
        <v>2.77</v>
      </c>
      <c r="T125">
        <v>47.04</v>
      </c>
      <c r="U125" s="12">
        <v>30726.5</v>
      </c>
      <c r="V125">
        <v>58</v>
      </c>
      <c r="W125" s="12">
        <v>30721.486000000001</v>
      </c>
      <c r="X125">
        <v>57</v>
      </c>
      <c r="Y125">
        <v>320</v>
      </c>
      <c r="Z125">
        <v>9581.6660200000006</v>
      </c>
      <c r="AA125">
        <v>0</v>
      </c>
    </row>
    <row r="126" spans="1:27" x14ac:dyDescent="0.2">
      <c r="A126">
        <v>321</v>
      </c>
      <c r="B126" t="s">
        <v>29</v>
      </c>
      <c r="C126" t="s">
        <v>48</v>
      </c>
      <c r="D126" t="s">
        <v>33</v>
      </c>
      <c r="E126">
        <v>2</v>
      </c>
      <c r="G126" t="s">
        <v>39</v>
      </c>
      <c r="H126">
        <v>5.1110000000000003E-2</v>
      </c>
      <c r="I126">
        <v>14.890930000000001</v>
      </c>
      <c r="J126">
        <v>5.1709999999999999E-2</v>
      </c>
      <c r="K126">
        <v>14.91009</v>
      </c>
      <c r="L126">
        <f t="shared" si="11"/>
        <v>1.91599999999994E-2</v>
      </c>
      <c r="M126">
        <f t="shared" si="12"/>
        <v>0.37052794430476504</v>
      </c>
      <c r="N126">
        <f t="shared" si="13"/>
        <v>1.8937683233416543E-2</v>
      </c>
      <c r="O126">
        <v>2999.3912499999997</v>
      </c>
      <c r="P126">
        <f t="shared" si="10"/>
        <v>158.38216391260653</v>
      </c>
      <c r="Q126">
        <v>1291.1142349168879</v>
      </c>
      <c r="R126" t="s">
        <v>2</v>
      </c>
      <c r="S126">
        <v>3.18</v>
      </c>
      <c r="T126">
        <v>44.06</v>
      </c>
      <c r="U126" s="12">
        <v>36956.400000000001</v>
      </c>
      <c r="V126">
        <v>81</v>
      </c>
      <c r="W126" s="12">
        <v>36953.365689999999</v>
      </c>
      <c r="X126">
        <v>80</v>
      </c>
      <c r="Y126">
        <v>321</v>
      </c>
      <c r="Z126">
        <v>4751.8574200000003</v>
      </c>
      <c r="AA126">
        <v>1043.45569</v>
      </c>
    </row>
    <row r="127" spans="1:27" x14ac:dyDescent="0.2">
      <c r="A127">
        <v>322</v>
      </c>
      <c r="B127" t="s">
        <v>29</v>
      </c>
      <c r="C127" t="s">
        <v>45</v>
      </c>
      <c r="D127" t="s">
        <v>33</v>
      </c>
      <c r="E127">
        <v>1</v>
      </c>
      <c r="F127" t="s">
        <v>40</v>
      </c>
      <c r="G127" t="s">
        <v>34</v>
      </c>
      <c r="H127">
        <v>5.1380000000000002E-2</v>
      </c>
      <c r="I127">
        <v>14.92909</v>
      </c>
      <c r="J127">
        <v>5.108E-2</v>
      </c>
      <c r="K127">
        <v>14.94768</v>
      </c>
      <c r="L127">
        <f t="shared" si="11"/>
        <v>1.8589999999999662E-2</v>
      </c>
      <c r="M127">
        <f t="shared" si="12"/>
        <v>0.36393891934220168</v>
      </c>
      <c r="N127">
        <f t="shared" si="13"/>
        <v>1.8699181675802323E-2</v>
      </c>
      <c r="O127">
        <v>3356.7037500000006</v>
      </c>
      <c r="P127">
        <f t="shared" si="10"/>
        <v>179.51072983818023</v>
      </c>
      <c r="Q127">
        <v>72775.953053364443</v>
      </c>
      <c r="R127" t="s">
        <v>3</v>
      </c>
      <c r="S127">
        <v>3.63</v>
      </c>
      <c r="T127">
        <v>46.35</v>
      </c>
      <c r="U127" s="12">
        <v>30288</v>
      </c>
      <c r="V127">
        <v>71</v>
      </c>
      <c r="W127" s="12">
        <v>30288</v>
      </c>
      <c r="X127">
        <v>71</v>
      </c>
      <c r="Y127">
        <v>322</v>
      </c>
      <c r="Z127">
        <v>527.23059000000001</v>
      </c>
      <c r="AA127">
        <v>1115.3006600000001</v>
      </c>
    </row>
    <row r="128" spans="1:27" x14ac:dyDescent="0.2">
      <c r="A128">
        <v>328</v>
      </c>
      <c r="B128" t="s">
        <v>29</v>
      </c>
      <c r="C128" t="s">
        <v>45</v>
      </c>
      <c r="D128" t="s">
        <v>33</v>
      </c>
      <c r="E128">
        <v>1</v>
      </c>
      <c r="F128" t="s">
        <v>40</v>
      </c>
      <c r="G128" t="s">
        <v>39</v>
      </c>
      <c r="H128">
        <v>4.9390000000000003E-2</v>
      </c>
      <c r="I128">
        <v>14.844440000000001</v>
      </c>
      <c r="J128">
        <v>5.0819999999999997E-2</v>
      </c>
      <c r="K128">
        <v>14.86403</v>
      </c>
      <c r="L128">
        <f t="shared" si="11"/>
        <v>1.9589999999999108E-2</v>
      </c>
      <c r="M128">
        <f t="shared" si="12"/>
        <v>0.38547815820541342</v>
      </c>
      <c r="N128">
        <f t="shared" si="13"/>
        <v>1.903876623376537E-2</v>
      </c>
      <c r="O128">
        <v>4179.9237499999999</v>
      </c>
      <c r="P128">
        <f t="shared" si="10"/>
        <v>219.54803681484773</v>
      </c>
      <c r="Q128">
        <v>44511.068439302609</v>
      </c>
      <c r="R128" t="s">
        <v>3</v>
      </c>
      <c r="S128">
        <v>3.86</v>
      </c>
      <c r="T128">
        <v>45.54</v>
      </c>
      <c r="U128" s="12">
        <v>30857.599999999999</v>
      </c>
      <c r="V128">
        <v>71</v>
      </c>
      <c r="W128" s="12">
        <v>30857.599999999999</v>
      </c>
      <c r="X128">
        <v>71</v>
      </c>
      <c r="Y128">
        <v>328</v>
      </c>
      <c r="Z128">
        <v>1387.2722200000001</v>
      </c>
      <c r="AA128">
        <v>887.59600999999998</v>
      </c>
    </row>
    <row r="129" spans="1:27" x14ac:dyDescent="0.2">
      <c r="A129">
        <v>329</v>
      </c>
      <c r="B129" t="s">
        <v>35</v>
      </c>
      <c r="C129" t="s">
        <v>36</v>
      </c>
      <c r="D129" t="s">
        <v>27</v>
      </c>
      <c r="E129">
        <v>3</v>
      </c>
      <c r="G129" t="s">
        <v>28</v>
      </c>
      <c r="H129">
        <v>4.9399999999999999E-2</v>
      </c>
      <c r="I129">
        <v>14.85707</v>
      </c>
      <c r="J129">
        <v>5.0630000000000001E-2</v>
      </c>
      <c r="K129">
        <v>14.882400000000001</v>
      </c>
      <c r="L129">
        <f t="shared" si="11"/>
        <v>2.5330000000000297E-2</v>
      </c>
      <c r="M129">
        <f t="shared" si="12"/>
        <v>0.50029626703536034</v>
      </c>
      <c r="N129">
        <f t="shared" si="13"/>
        <v>2.47146355915468E-2</v>
      </c>
      <c r="O129">
        <v>2228.4275000000002</v>
      </c>
      <c r="P129">
        <f t="shared" si="10"/>
        <v>90.166310231262088</v>
      </c>
      <c r="Q129">
        <v>918.41833599602148</v>
      </c>
      <c r="R129" t="s">
        <v>2</v>
      </c>
      <c r="S129">
        <v>3.78</v>
      </c>
      <c r="T129">
        <v>44.11</v>
      </c>
      <c r="U129" s="12">
        <v>29874.799999999999</v>
      </c>
      <c r="V129">
        <v>66</v>
      </c>
      <c r="W129" s="12">
        <v>29874.799999999999</v>
      </c>
      <c r="X129">
        <v>66</v>
      </c>
      <c r="Y129">
        <v>329</v>
      </c>
      <c r="Z129">
        <v>4426.2670900000003</v>
      </c>
      <c r="AA129">
        <v>537.66485999999998</v>
      </c>
    </row>
    <row r="130" spans="1:27" x14ac:dyDescent="0.2">
      <c r="A130">
        <v>330</v>
      </c>
      <c r="B130" t="s">
        <v>35</v>
      </c>
      <c r="C130" t="s">
        <v>36</v>
      </c>
      <c r="D130" t="s">
        <v>27</v>
      </c>
      <c r="E130">
        <v>3</v>
      </c>
      <c r="F130" t="s">
        <v>40</v>
      </c>
      <c r="G130" t="s">
        <v>28</v>
      </c>
      <c r="H130">
        <v>5.11E-2</v>
      </c>
      <c r="I130">
        <v>14.97321</v>
      </c>
      <c r="J130">
        <v>5.1740000000000001E-2</v>
      </c>
      <c r="K130">
        <v>14.99545</v>
      </c>
      <c r="L130">
        <f t="shared" ref="L130:L161" si="14">K130-I130</f>
        <v>2.2240000000000038E-2</v>
      </c>
      <c r="M130">
        <f t="shared" ref="M130:M161" si="15">L130/J130</f>
        <v>0.42984151526865166</v>
      </c>
      <c r="N130">
        <f t="shared" ref="N130:N161" si="16">M130*H130</f>
        <v>2.1964901430228098E-2</v>
      </c>
      <c r="O130">
        <v>2058.8024999999998</v>
      </c>
      <c r="P130">
        <f t="shared" si="10"/>
        <v>93.731470024567273</v>
      </c>
      <c r="Q130">
        <v>1942.2784488793015</v>
      </c>
      <c r="R130" t="s">
        <v>2</v>
      </c>
      <c r="S130">
        <v>3.02</v>
      </c>
      <c r="T130">
        <v>45.1</v>
      </c>
      <c r="U130" s="12">
        <v>23333</v>
      </c>
      <c r="V130">
        <v>67</v>
      </c>
      <c r="W130" s="12">
        <v>23333</v>
      </c>
      <c r="X130">
        <v>67</v>
      </c>
      <c r="Y130">
        <v>330</v>
      </c>
      <c r="Z130">
        <v>2701.2058099999999</v>
      </c>
      <c r="AA130">
        <v>0</v>
      </c>
    </row>
    <row r="131" spans="1:27" x14ac:dyDescent="0.2">
      <c r="A131">
        <v>333</v>
      </c>
      <c r="B131" t="s">
        <v>29</v>
      </c>
      <c r="C131" t="s">
        <v>26</v>
      </c>
      <c r="D131" t="s">
        <v>33</v>
      </c>
      <c r="E131">
        <v>1</v>
      </c>
      <c r="G131" t="s">
        <v>28</v>
      </c>
      <c r="H131">
        <v>5.074E-2</v>
      </c>
      <c r="I131">
        <v>14.945880000000001</v>
      </c>
      <c r="J131">
        <v>4.9399999999999999E-2</v>
      </c>
      <c r="K131">
        <v>14.969379999999999</v>
      </c>
      <c r="L131">
        <f t="shared" si="14"/>
        <v>2.3499999999998522E-2</v>
      </c>
      <c r="M131">
        <f t="shared" si="15"/>
        <v>0.47570850202426157</v>
      </c>
      <c r="N131">
        <f t="shared" si="16"/>
        <v>2.4137449392711032E-2</v>
      </c>
      <c r="O131">
        <v>4994.2425000000003</v>
      </c>
      <c r="P131">
        <f t="shared" ref="P131:P172" si="17">(O131/1000)/N131</f>
        <v>206.90846073852978</v>
      </c>
      <c r="Q131">
        <v>1427.538535736729</v>
      </c>
      <c r="R131" t="s">
        <v>2</v>
      </c>
      <c r="S131">
        <v>3.32</v>
      </c>
      <c r="T131">
        <v>44.79</v>
      </c>
      <c r="U131" s="12">
        <v>39380</v>
      </c>
      <c r="V131">
        <v>68</v>
      </c>
      <c r="W131" s="12">
        <v>39371.717329999985</v>
      </c>
      <c r="X131">
        <v>67</v>
      </c>
      <c r="Y131">
        <v>333</v>
      </c>
      <c r="Z131">
        <v>1708.74902</v>
      </c>
      <c r="AA131">
        <v>630.98321999999996</v>
      </c>
    </row>
    <row r="132" spans="1:27" x14ac:dyDescent="0.2">
      <c r="A132">
        <v>338</v>
      </c>
      <c r="B132" t="s">
        <v>29</v>
      </c>
      <c r="C132" t="s">
        <v>26</v>
      </c>
      <c r="D132" t="s">
        <v>33</v>
      </c>
      <c r="E132">
        <v>3</v>
      </c>
      <c r="F132" t="s">
        <v>40</v>
      </c>
      <c r="G132" t="s">
        <v>28</v>
      </c>
      <c r="H132">
        <v>5.0659999999999997E-2</v>
      </c>
      <c r="I132">
        <v>14.93407</v>
      </c>
      <c r="J132">
        <v>5.0880000000000002E-2</v>
      </c>
      <c r="K132">
        <v>14.95322</v>
      </c>
      <c r="L132">
        <f t="shared" si="14"/>
        <v>1.9149999999999778E-2</v>
      </c>
      <c r="M132">
        <f t="shared" si="15"/>
        <v>0.37637578616351763</v>
      </c>
      <c r="N132">
        <f t="shared" si="16"/>
        <v>1.9067197327043803E-2</v>
      </c>
      <c r="O132">
        <v>3715.5025000000001</v>
      </c>
      <c r="P132">
        <f t="shared" si="17"/>
        <v>194.86358882593339</v>
      </c>
      <c r="Q132">
        <v>65449.846949787352</v>
      </c>
      <c r="R132" t="s">
        <v>3</v>
      </c>
      <c r="S132">
        <v>3.02</v>
      </c>
      <c r="T132">
        <v>45.81</v>
      </c>
      <c r="U132" s="12">
        <v>16387.400000000001</v>
      </c>
      <c r="V132">
        <v>71</v>
      </c>
      <c r="W132" s="12">
        <v>16384.283000000003</v>
      </c>
      <c r="X132">
        <v>70</v>
      </c>
      <c r="Y132">
        <v>338</v>
      </c>
      <c r="Z132" s="15">
        <v>564.96978999999999</v>
      </c>
      <c r="AA132">
        <v>0</v>
      </c>
    </row>
    <row r="133" spans="1:27" x14ac:dyDescent="0.2">
      <c r="A133">
        <v>339</v>
      </c>
      <c r="B133" t="s">
        <v>25</v>
      </c>
      <c r="C133" t="s">
        <v>45</v>
      </c>
      <c r="D133" t="s">
        <v>33</v>
      </c>
      <c r="E133">
        <v>5</v>
      </c>
      <c r="F133" t="s">
        <v>40</v>
      </c>
      <c r="G133" t="s">
        <v>28</v>
      </c>
      <c r="H133">
        <v>5.1360000000000003E-2</v>
      </c>
      <c r="I133">
        <v>14.941179999999999</v>
      </c>
      <c r="J133">
        <v>4.8030000000000003E-2</v>
      </c>
      <c r="K133">
        <v>14.96438</v>
      </c>
      <c r="L133">
        <f t="shared" si="14"/>
        <v>2.3200000000000998E-2</v>
      </c>
      <c r="M133">
        <f t="shared" si="15"/>
        <v>0.48303143868417647</v>
      </c>
      <c r="N133">
        <f t="shared" si="16"/>
        <v>2.4808494690819305E-2</v>
      </c>
      <c r="O133">
        <v>2616.59375</v>
      </c>
      <c r="P133">
        <f t="shared" si="17"/>
        <v>105.47168550973402</v>
      </c>
      <c r="Q133">
        <v>15674.129689516589</v>
      </c>
      <c r="R133" t="s">
        <v>3</v>
      </c>
      <c r="S133">
        <v>2.6</v>
      </c>
      <c r="T133">
        <v>47.48</v>
      </c>
      <c r="U133" s="12">
        <v>25799.7</v>
      </c>
      <c r="V133">
        <v>71</v>
      </c>
      <c r="W133" s="12">
        <v>25703.857810000009</v>
      </c>
      <c r="X133">
        <v>69</v>
      </c>
      <c r="Y133">
        <v>339</v>
      </c>
      <c r="Z133">
        <v>162.22943000000001</v>
      </c>
      <c r="AA133">
        <v>0</v>
      </c>
    </row>
    <row r="134" spans="1:27" x14ac:dyDescent="0.2">
      <c r="A134">
        <v>343</v>
      </c>
      <c r="B134" t="s">
        <v>35</v>
      </c>
      <c r="C134" t="s">
        <v>26</v>
      </c>
      <c r="D134" t="s">
        <v>27</v>
      </c>
      <c r="E134">
        <v>2</v>
      </c>
      <c r="F134" t="s">
        <v>40</v>
      </c>
      <c r="G134" t="s">
        <v>28</v>
      </c>
      <c r="H134">
        <v>5.0970000000000001E-2</v>
      </c>
      <c r="I134">
        <v>14.92817</v>
      </c>
      <c r="J134">
        <v>5.092E-2</v>
      </c>
      <c r="K134">
        <v>14.95295</v>
      </c>
      <c r="L134">
        <f t="shared" si="14"/>
        <v>2.4779999999999802E-2</v>
      </c>
      <c r="M134">
        <f t="shared" si="15"/>
        <v>0.48664571877454443</v>
      </c>
      <c r="N134">
        <f t="shared" si="16"/>
        <v>2.4804332285938532E-2</v>
      </c>
      <c r="O134">
        <v>2641.2287500000002</v>
      </c>
      <c r="P134">
        <f t="shared" si="17"/>
        <v>106.48255794804447</v>
      </c>
      <c r="Q134">
        <v>2595.2056157303646</v>
      </c>
      <c r="R134" t="s">
        <v>2</v>
      </c>
      <c r="S134">
        <v>3.12</v>
      </c>
      <c r="T134">
        <v>45.14</v>
      </c>
      <c r="U134" s="12">
        <v>23940</v>
      </c>
      <c r="V134">
        <v>75</v>
      </c>
      <c r="W134" s="12">
        <v>23940</v>
      </c>
      <c r="X134">
        <v>75</v>
      </c>
      <c r="Y134">
        <v>343</v>
      </c>
      <c r="Z134">
        <v>748.03527999999994</v>
      </c>
      <c r="AA134">
        <v>1145.66101</v>
      </c>
    </row>
    <row r="135" spans="1:27" x14ac:dyDescent="0.2">
      <c r="A135">
        <v>347</v>
      </c>
      <c r="B135" t="s">
        <v>35</v>
      </c>
      <c r="C135" t="s">
        <v>45</v>
      </c>
      <c r="D135" t="s">
        <v>27</v>
      </c>
      <c r="E135">
        <v>1</v>
      </c>
      <c r="G135" t="s">
        <v>34</v>
      </c>
      <c r="H135">
        <v>4.9849999999999998E-2</v>
      </c>
      <c r="I135">
        <v>14.916729999999999</v>
      </c>
      <c r="J135">
        <v>4.9770000000000002E-2</v>
      </c>
      <c r="K135">
        <v>14.940160000000001</v>
      </c>
      <c r="L135">
        <f t="shared" si="14"/>
        <v>2.3430000000001172E-2</v>
      </c>
      <c r="M135">
        <f t="shared" si="15"/>
        <v>0.47076552139845634</v>
      </c>
      <c r="N135">
        <f t="shared" si="16"/>
        <v>2.346766124171305E-2</v>
      </c>
      <c r="O135">
        <v>3681.42875</v>
      </c>
      <c r="P135">
        <f t="shared" si="17"/>
        <v>156.87241741228024</v>
      </c>
      <c r="Q135">
        <v>16774.133827092021</v>
      </c>
      <c r="R135" t="s">
        <v>3</v>
      </c>
      <c r="S135">
        <v>3.37</v>
      </c>
      <c r="T135">
        <v>45.08</v>
      </c>
      <c r="U135" s="12">
        <v>24482.7</v>
      </c>
      <c r="V135">
        <v>44</v>
      </c>
      <c r="W135" s="12">
        <v>24482.7</v>
      </c>
      <c r="X135">
        <v>44</v>
      </c>
      <c r="Y135">
        <v>347</v>
      </c>
      <c r="Z135">
        <v>5886.0004900000004</v>
      </c>
      <c r="AA135">
        <v>0</v>
      </c>
    </row>
    <row r="136" spans="1:27" x14ac:dyDescent="0.2">
      <c r="A136">
        <v>349</v>
      </c>
      <c r="B136" t="s">
        <v>29</v>
      </c>
      <c r="C136" t="s">
        <v>30</v>
      </c>
      <c r="D136" t="s">
        <v>33</v>
      </c>
      <c r="E136">
        <v>1</v>
      </c>
      <c r="F136" t="s">
        <v>40</v>
      </c>
      <c r="G136" t="s">
        <v>34</v>
      </c>
      <c r="H136">
        <v>5.1040000000000002E-2</v>
      </c>
      <c r="I136">
        <v>14.947480000000001</v>
      </c>
      <c r="J136">
        <v>4.9590000000000002E-2</v>
      </c>
      <c r="K136">
        <v>14.96682</v>
      </c>
      <c r="L136">
        <f t="shared" si="14"/>
        <v>1.9339999999999691E-2</v>
      </c>
      <c r="M136">
        <f t="shared" si="15"/>
        <v>0.3899979834644019</v>
      </c>
      <c r="N136">
        <f t="shared" si="16"/>
        <v>1.9905497076023074E-2</v>
      </c>
      <c r="O136">
        <v>3484.0287499999999</v>
      </c>
      <c r="P136">
        <f t="shared" si="17"/>
        <v>175.02847262210017</v>
      </c>
      <c r="Q136">
        <v>46827.827184502879</v>
      </c>
      <c r="R136" t="s">
        <v>3</v>
      </c>
      <c r="S136">
        <v>3.8499999999999996</v>
      </c>
      <c r="T136">
        <v>46.364999999999995</v>
      </c>
      <c r="U136" s="12">
        <v>41300.300000000003</v>
      </c>
      <c r="V136">
        <v>72</v>
      </c>
      <c r="W136" s="12">
        <v>41300.300000000003</v>
      </c>
      <c r="X136">
        <v>72</v>
      </c>
      <c r="Y136">
        <v>349</v>
      </c>
      <c r="Z136">
        <v>1799.65942</v>
      </c>
      <c r="AA136">
        <v>987.79332999999997</v>
      </c>
    </row>
    <row r="137" spans="1:27" x14ac:dyDescent="0.2">
      <c r="A137">
        <v>356</v>
      </c>
      <c r="B137" t="s">
        <v>35</v>
      </c>
      <c r="C137" t="s">
        <v>30</v>
      </c>
      <c r="D137" t="s">
        <v>27</v>
      </c>
      <c r="E137">
        <v>1</v>
      </c>
      <c r="G137" t="s">
        <v>31</v>
      </c>
      <c r="H137">
        <v>5.0729999999999997E-2</v>
      </c>
      <c r="I137">
        <v>14.8741</v>
      </c>
      <c r="J137">
        <v>5.0360000000000002E-2</v>
      </c>
      <c r="K137">
        <v>14.89485</v>
      </c>
      <c r="L137">
        <f t="shared" si="14"/>
        <v>2.0749999999999602E-2</v>
      </c>
      <c r="M137">
        <f t="shared" si="15"/>
        <v>0.41203335980936462</v>
      </c>
      <c r="N137">
        <f t="shared" si="16"/>
        <v>2.0902452343129065E-2</v>
      </c>
      <c r="O137">
        <v>3044.72</v>
      </c>
      <c r="P137">
        <f t="shared" si="17"/>
        <v>145.66329108272518</v>
      </c>
      <c r="Q137">
        <v>17076.985505129454</v>
      </c>
      <c r="R137" t="s">
        <v>3</v>
      </c>
      <c r="S137">
        <v>2.98</v>
      </c>
      <c r="T137">
        <v>45.58</v>
      </c>
      <c r="U137" s="12">
        <v>36478.699999999997</v>
      </c>
      <c r="V137">
        <v>72</v>
      </c>
      <c r="W137" s="12">
        <v>36457.70670000001</v>
      </c>
      <c r="X137">
        <v>70</v>
      </c>
      <c r="Y137">
        <v>356</v>
      </c>
      <c r="Z137">
        <v>6732.3754900000004</v>
      </c>
      <c r="AA137">
        <v>0</v>
      </c>
    </row>
    <row r="138" spans="1:27" x14ac:dyDescent="0.2">
      <c r="A138">
        <v>357</v>
      </c>
      <c r="B138" t="s">
        <v>35</v>
      </c>
      <c r="C138" t="s">
        <v>45</v>
      </c>
      <c r="D138" t="s">
        <v>27</v>
      </c>
      <c r="E138">
        <v>2</v>
      </c>
      <c r="F138" t="s">
        <v>40</v>
      </c>
      <c r="G138" t="s">
        <v>28</v>
      </c>
      <c r="H138">
        <v>4.9599999999999998E-2</v>
      </c>
      <c r="I138">
        <v>14.9015</v>
      </c>
      <c r="J138">
        <v>4.9700000000000001E-2</v>
      </c>
      <c r="K138">
        <v>14.920170000000001</v>
      </c>
      <c r="L138">
        <f t="shared" si="14"/>
        <v>1.8670000000000186E-2</v>
      </c>
      <c r="M138">
        <f t="shared" si="15"/>
        <v>0.37565392354125121</v>
      </c>
      <c r="N138">
        <f t="shared" si="16"/>
        <v>1.8632434607646058E-2</v>
      </c>
      <c r="O138">
        <v>2593.9212499999994</v>
      </c>
      <c r="P138">
        <f t="shared" si="17"/>
        <v>139.21536850238297</v>
      </c>
      <c r="Q138">
        <v>8992.0298559226921</v>
      </c>
      <c r="R138" t="s">
        <v>3</v>
      </c>
      <c r="S138">
        <v>2.25</v>
      </c>
      <c r="T138">
        <v>45.534999999999997</v>
      </c>
      <c r="U138" s="12">
        <v>32953</v>
      </c>
      <c r="V138">
        <v>70</v>
      </c>
      <c r="W138" s="12">
        <v>32953</v>
      </c>
      <c r="X138">
        <v>70</v>
      </c>
      <c r="Y138">
        <v>357</v>
      </c>
      <c r="Z138">
        <v>1748.94604</v>
      </c>
      <c r="AA138">
        <v>864.43584999999996</v>
      </c>
    </row>
    <row r="139" spans="1:27" x14ac:dyDescent="0.2">
      <c r="A139">
        <v>358</v>
      </c>
      <c r="B139" t="s">
        <v>25</v>
      </c>
      <c r="C139" t="s">
        <v>42</v>
      </c>
      <c r="D139" t="s">
        <v>33</v>
      </c>
      <c r="E139">
        <v>3</v>
      </c>
      <c r="F139" t="s">
        <v>49</v>
      </c>
      <c r="G139" t="s">
        <v>31</v>
      </c>
      <c r="H139">
        <v>5.2470000000000003E-2</v>
      </c>
      <c r="I139">
        <v>15.005599999999999</v>
      </c>
      <c r="J139">
        <v>5.0070000000000003E-2</v>
      </c>
      <c r="K139">
        <v>15.026630000000001</v>
      </c>
      <c r="L139">
        <f t="shared" si="14"/>
        <v>2.1030000000001436E-2</v>
      </c>
      <c r="M139">
        <f t="shared" si="15"/>
        <v>0.42001198322351579</v>
      </c>
      <c r="N139">
        <f t="shared" si="16"/>
        <v>2.2038028759737874E-2</v>
      </c>
      <c r="O139">
        <v>4490.34</v>
      </c>
      <c r="P139">
        <f t="shared" si="17"/>
        <v>203.75415827587881</v>
      </c>
      <c r="Q139">
        <v>16490.544633296511</v>
      </c>
      <c r="R139" t="s">
        <v>3</v>
      </c>
      <c r="S139">
        <v>2.0099999999999998</v>
      </c>
      <c r="T139">
        <v>45.6</v>
      </c>
      <c r="U139" s="12">
        <v>21383</v>
      </c>
      <c r="V139">
        <v>73</v>
      </c>
      <c r="W139" s="12">
        <v>21363.992669999996</v>
      </c>
      <c r="X139">
        <v>71</v>
      </c>
      <c r="Y139">
        <v>358</v>
      </c>
      <c r="Z139">
        <v>3895.10034</v>
      </c>
      <c r="AA139">
        <v>0</v>
      </c>
    </row>
    <row r="140" spans="1:27" x14ac:dyDescent="0.2">
      <c r="A140">
        <v>366</v>
      </c>
      <c r="B140" t="s">
        <v>35</v>
      </c>
      <c r="C140" t="s">
        <v>36</v>
      </c>
      <c r="D140" t="s">
        <v>27</v>
      </c>
      <c r="E140">
        <v>1</v>
      </c>
      <c r="G140" t="s">
        <v>28</v>
      </c>
      <c r="H140">
        <v>4.9759999999999999E-2</v>
      </c>
      <c r="I140">
        <v>15.05302</v>
      </c>
      <c r="J140">
        <v>5.2010000000000001E-2</v>
      </c>
      <c r="K140">
        <v>15.08019</v>
      </c>
      <c r="L140">
        <f t="shared" si="14"/>
        <v>2.7169999999999916E-2</v>
      </c>
      <c r="M140">
        <f t="shared" si="15"/>
        <v>0.52239953855027721</v>
      </c>
      <c r="N140">
        <f t="shared" si="16"/>
        <v>2.5994601038261792E-2</v>
      </c>
      <c r="O140">
        <v>4206.2912500000002</v>
      </c>
      <c r="P140">
        <f t="shared" si="17"/>
        <v>161.81403376065305</v>
      </c>
      <c r="Q140">
        <v>12364.890281460235</v>
      </c>
      <c r="R140" t="s">
        <v>3</v>
      </c>
      <c r="S140">
        <v>3.38</v>
      </c>
      <c r="T140">
        <v>44.68</v>
      </c>
      <c r="U140" s="12">
        <v>40711</v>
      </c>
      <c r="V140">
        <v>73</v>
      </c>
      <c r="W140" s="12">
        <v>40705.745619999994</v>
      </c>
      <c r="X140">
        <v>72</v>
      </c>
      <c r="Y140">
        <v>366</v>
      </c>
      <c r="Z140">
        <v>12590.5</v>
      </c>
      <c r="AA140">
        <v>608.54625999999996</v>
      </c>
    </row>
    <row r="141" spans="1:27" x14ac:dyDescent="0.2">
      <c r="A141">
        <v>372</v>
      </c>
      <c r="B141" t="s">
        <v>35</v>
      </c>
      <c r="C141" t="s">
        <v>45</v>
      </c>
      <c r="D141" t="s">
        <v>27</v>
      </c>
      <c r="E141">
        <v>3</v>
      </c>
      <c r="G141" t="s">
        <v>39</v>
      </c>
      <c r="H141">
        <v>5.0979999999999998E-2</v>
      </c>
      <c r="I141">
        <v>15.01455</v>
      </c>
      <c r="J141">
        <v>4.9000000000000002E-2</v>
      </c>
      <c r="K141">
        <v>15.035729999999999</v>
      </c>
      <c r="L141">
        <f t="shared" si="14"/>
        <v>2.117999999999931E-2</v>
      </c>
      <c r="M141">
        <f t="shared" si="15"/>
        <v>0.43224489795916959</v>
      </c>
      <c r="N141">
        <f t="shared" si="16"/>
        <v>2.2035844897958463E-2</v>
      </c>
      <c r="O141">
        <v>3355.1662499999998</v>
      </c>
      <c r="P141">
        <f t="shared" si="17"/>
        <v>152.25947838790802</v>
      </c>
      <c r="Q141">
        <v>12403.719287521526</v>
      </c>
      <c r="R141" t="s">
        <v>3</v>
      </c>
      <c r="S141">
        <v>2.79</v>
      </c>
      <c r="T141">
        <v>45.23</v>
      </c>
      <c r="U141" s="12">
        <v>20127.099999999999</v>
      </c>
      <c r="V141">
        <v>77</v>
      </c>
      <c r="W141" s="12">
        <v>20108.284780000002</v>
      </c>
      <c r="X141">
        <v>75</v>
      </c>
      <c r="Y141">
        <v>372</v>
      </c>
      <c r="Z141">
        <v>122.56104000000001</v>
      </c>
      <c r="AA141">
        <v>494.29083000000003</v>
      </c>
    </row>
    <row r="142" spans="1:27" x14ac:dyDescent="0.2">
      <c r="A142">
        <v>374</v>
      </c>
      <c r="B142" t="s">
        <v>25</v>
      </c>
      <c r="C142" t="s">
        <v>36</v>
      </c>
      <c r="D142" t="s">
        <v>33</v>
      </c>
      <c r="E142">
        <v>1</v>
      </c>
      <c r="G142" t="s">
        <v>28</v>
      </c>
      <c r="H142">
        <v>5.0200000000000002E-2</v>
      </c>
      <c r="I142">
        <v>14.86191</v>
      </c>
      <c r="J142">
        <v>5.1459999999999999E-2</v>
      </c>
      <c r="K142">
        <v>14.88941</v>
      </c>
      <c r="L142">
        <f t="shared" si="14"/>
        <v>2.7499999999999858E-2</v>
      </c>
      <c r="M142">
        <f t="shared" si="15"/>
        <v>0.53439564710454446</v>
      </c>
      <c r="N142">
        <f t="shared" si="16"/>
        <v>2.6826661484648132E-2</v>
      </c>
      <c r="O142">
        <v>5010.6375000000007</v>
      </c>
      <c r="P142">
        <f t="shared" si="17"/>
        <v>186.77827290836751</v>
      </c>
      <c r="Q142">
        <v>11225.232539390583</v>
      </c>
      <c r="R142" t="s">
        <v>3</v>
      </c>
      <c r="S142">
        <v>2.8</v>
      </c>
      <c r="T142">
        <v>45.48</v>
      </c>
      <c r="U142" s="12">
        <v>60703</v>
      </c>
      <c r="V142">
        <v>51</v>
      </c>
      <c r="W142" s="12">
        <v>60702.981599999999</v>
      </c>
      <c r="X142">
        <v>51</v>
      </c>
      <c r="Y142">
        <v>374</v>
      </c>
      <c r="Z142">
        <v>0</v>
      </c>
      <c r="AA142">
        <v>0</v>
      </c>
    </row>
    <row r="143" spans="1:27" x14ac:dyDescent="0.2">
      <c r="A143">
        <v>377</v>
      </c>
      <c r="B143" t="s">
        <v>25</v>
      </c>
      <c r="C143" t="s">
        <v>45</v>
      </c>
      <c r="D143" t="s">
        <v>33</v>
      </c>
      <c r="E143">
        <v>2</v>
      </c>
      <c r="F143" t="s">
        <v>50</v>
      </c>
      <c r="G143" t="s">
        <v>31</v>
      </c>
      <c r="H143">
        <v>5.0819999999999997E-2</v>
      </c>
      <c r="I143">
        <v>14.95623</v>
      </c>
      <c r="J143">
        <v>5.1679999999999997E-2</v>
      </c>
      <c r="K143">
        <v>14.978859999999999</v>
      </c>
      <c r="L143">
        <f t="shared" si="14"/>
        <v>2.2629999999999484E-2</v>
      </c>
      <c r="M143">
        <f t="shared" si="15"/>
        <v>0.43788699690401478</v>
      </c>
      <c r="N143">
        <f t="shared" si="16"/>
        <v>2.2253417182662029E-2</v>
      </c>
      <c r="O143">
        <v>3464.4250000000002</v>
      </c>
      <c r="P143">
        <f t="shared" si="17"/>
        <v>155.68058476426648</v>
      </c>
      <c r="Q143">
        <v>11249.494560988222</v>
      </c>
      <c r="R143" t="s">
        <v>3</v>
      </c>
      <c r="S143">
        <v>2.04</v>
      </c>
      <c r="T143">
        <v>47.42</v>
      </c>
      <c r="U143" s="12">
        <v>31339.4</v>
      </c>
      <c r="V143">
        <v>65</v>
      </c>
      <c r="W143" s="12">
        <v>31328.592330000003</v>
      </c>
      <c r="X143">
        <v>64</v>
      </c>
      <c r="Y143">
        <v>377</v>
      </c>
      <c r="Z143">
        <v>4600.3491199999999</v>
      </c>
      <c r="AA143">
        <v>0</v>
      </c>
    </row>
    <row r="144" spans="1:27" x14ac:dyDescent="0.2">
      <c r="A144">
        <v>378</v>
      </c>
      <c r="B144" t="s">
        <v>35</v>
      </c>
      <c r="C144" t="s">
        <v>30</v>
      </c>
      <c r="D144" t="s">
        <v>27</v>
      </c>
      <c r="E144">
        <v>1</v>
      </c>
      <c r="G144" t="s">
        <v>39</v>
      </c>
      <c r="H144">
        <v>5.1110000000000003E-2</v>
      </c>
      <c r="I144">
        <v>15.08006</v>
      </c>
      <c r="J144">
        <v>5.0880000000000002E-2</v>
      </c>
      <c r="K144">
        <v>15.09918</v>
      </c>
      <c r="L144">
        <f t="shared" si="14"/>
        <v>1.9120000000000914E-2</v>
      </c>
      <c r="M144">
        <f t="shared" si="15"/>
        <v>0.37578616352203054</v>
      </c>
      <c r="N144">
        <f t="shared" si="16"/>
        <v>1.9206430817610982E-2</v>
      </c>
      <c r="O144">
        <v>2054.78125</v>
      </c>
      <c r="P144">
        <f t="shared" si="17"/>
        <v>106.98402371126166</v>
      </c>
      <c r="Q144">
        <v>11371.329189285862</v>
      </c>
      <c r="R144" t="s">
        <v>3</v>
      </c>
      <c r="S144">
        <v>3.76</v>
      </c>
      <c r="T144">
        <v>44.36</v>
      </c>
      <c r="U144" s="12">
        <v>27883.1</v>
      </c>
      <c r="V144">
        <v>66</v>
      </c>
      <c r="W144" s="12">
        <v>27877.500220000002</v>
      </c>
      <c r="X144">
        <v>65</v>
      </c>
      <c r="Y144">
        <v>378</v>
      </c>
      <c r="Z144">
        <v>3809.3339799999999</v>
      </c>
      <c r="AA144">
        <v>0</v>
      </c>
    </row>
    <row r="145" spans="1:27" x14ac:dyDescent="0.2">
      <c r="A145">
        <v>379</v>
      </c>
      <c r="B145" t="s">
        <v>25</v>
      </c>
      <c r="C145" t="s">
        <v>46</v>
      </c>
      <c r="D145" t="s">
        <v>27</v>
      </c>
      <c r="E145">
        <v>2</v>
      </c>
      <c r="F145" t="s">
        <v>40</v>
      </c>
      <c r="G145" t="s">
        <v>39</v>
      </c>
      <c r="H145">
        <v>5.0299999999999997E-2</v>
      </c>
      <c r="I145">
        <v>14.94491</v>
      </c>
      <c r="J145">
        <v>5.008E-2</v>
      </c>
      <c r="K145">
        <v>14.97031</v>
      </c>
      <c r="L145">
        <f t="shared" si="14"/>
        <v>2.5399999999999423E-2</v>
      </c>
      <c r="M145">
        <f t="shared" si="15"/>
        <v>0.50718849840254443</v>
      </c>
      <c r="N145">
        <f t="shared" si="16"/>
        <v>2.5511581469647982E-2</v>
      </c>
      <c r="O145">
        <v>3496.9124999999995</v>
      </c>
      <c r="P145">
        <f t="shared" si="17"/>
        <v>137.07156901113316</v>
      </c>
      <c r="Q145">
        <v>12159.170190728093</v>
      </c>
      <c r="R145" t="s">
        <v>3</v>
      </c>
      <c r="S145">
        <v>3.05</v>
      </c>
      <c r="T145">
        <v>45.8</v>
      </c>
      <c r="U145" s="12">
        <v>54364.7</v>
      </c>
      <c r="V145">
        <v>65</v>
      </c>
      <c r="W145" s="12">
        <v>54360.165340000036</v>
      </c>
      <c r="X145">
        <v>64</v>
      </c>
      <c r="Y145">
        <v>379</v>
      </c>
      <c r="Z145">
        <v>0</v>
      </c>
      <c r="AA145">
        <v>1384.43274</v>
      </c>
    </row>
    <row r="146" spans="1:27" x14ac:dyDescent="0.2">
      <c r="A146">
        <v>380</v>
      </c>
      <c r="B146" t="s">
        <v>29</v>
      </c>
      <c r="C146" t="s">
        <v>32</v>
      </c>
      <c r="D146" t="s">
        <v>33</v>
      </c>
      <c r="E146">
        <v>2</v>
      </c>
      <c r="F146" t="s">
        <v>40</v>
      </c>
      <c r="G146" t="s">
        <v>28</v>
      </c>
      <c r="H146">
        <v>5.0709999999999998E-2</v>
      </c>
      <c r="I146">
        <v>14.898809999999999</v>
      </c>
      <c r="J146">
        <v>4.9270000000000001E-2</v>
      </c>
      <c r="K146">
        <v>14.915800000000001</v>
      </c>
      <c r="L146">
        <f t="shared" si="14"/>
        <v>1.6990000000001615E-2</v>
      </c>
      <c r="M146">
        <f t="shared" si="15"/>
        <v>0.34483458494015862</v>
      </c>
      <c r="N146">
        <f t="shared" si="16"/>
        <v>1.7486561802315444E-2</v>
      </c>
      <c r="O146">
        <v>2105.1999999999998</v>
      </c>
      <c r="P146">
        <f t="shared" si="17"/>
        <v>120.38958966314605</v>
      </c>
      <c r="Q146">
        <v>101949.18368719057</v>
      </c>
      <c r="R146" t="s">
        <v>3</v>
      </c>
      <c r="S146">
        <v>2.88</v>
      </c>
      <c r="T146">
        <v>45.95</v>
      </c>
      <c r="U146" s="12">
        <v>17197.599999999999</v>
      </c>
      <c r="V146">
        <v>69</v>
      </c>
      <c r="W146" s="12">
        <v>17197.599999999999</v>
      </c>
      <c r="X146">
        <v>70</v>
      </c>
      <c r="Y146">
        <v>380</v>
      </c>
      <c r="Z146">
        <v>1133.9493399999999</v>
      </c>
      <c r="AA146">
        <v>1146.23901</v>
      </c>
    </row>
    <row r="147" spans="1:27" x14ac:dyDescent="0.2">
      <c r="A147">
        <v>381</v>
      </c>
      <c r="B147" t="s">
        <v>29</v>
      </c>
      <c r="C147" t="s">
        <v>32</v>
      </c>
      <c r="D147" t="s">
        <v>33</v>
      </c>
      <c r="E147">
        <v>1</v>
      </c>
      <c r="F147" t="s">
        <v>51</v>
      </c>
      <c r="G147" t="s">
        <v>28</v>
      </c>
      <c r="H147">
        <v>5.1049999999999998E-2</v>
      </c>
      <c r="I147">
        <v>14.89045</v>
      </c>
      <c r="J147">
        <v>4.9970000000000001E-2</v>
      </c>
      <c r="K147">
        <v>14.90879</v>
      </c>
      <c r="L147">
        <f t="shared" si="14"/>
        <v>1.8340000000000245E-2</v>
      </c>
      <c r="M147">
        <f t="shared" si="15"/>
        <v>0.36702021212728125</v>
      </c>
      <c r="N147">
        <f t="shared" si="16"/>
        <v>1.8736381829097707E-2</v>
      </c>
      <c r="O147">
        <v>2359.3274999999999</v>
      </c>
      <c r="P147">
        <f t="shared" si="17"/>
        <v>125.92225764399993</v>
      </c>
      <c r="Q147">
        <v>48802.62355941155</v>
      </c>
      <c r="R147" t="s">
        <v>3</v>
      </c>
      <c r="S147">
        <v>3.82</v>
      </c>
      <c r="T147">
        <v>45.54</v>
      </c>
      <c r="U147" s="12">
        <v>32100.2</v>
      </c>
      <c r="V147">
        <v>68</v>
      </c>
      <c r="W147" s="12">
        <v>32100.2</v>
      </c>
      <c r="X147">
        <v>68</v>
      </c>
      <c r="Y147">
        <v>381</v>
      </c>
      <c r="Z147">
        <v>2710.42578</v>
      </c>
      <c r="AA147">
        <v>1183.3278800000001</v>
      </c>
    </row>
    <row r="148" spans="1:27" x14ac:dyDescent="0.2">
      <c r="A148">
        <v>384</v>
      </c>
      <c r="B148" t="s">
        <v>35</v>
      </c>
      <c r="C148" t="s">
        <v>52</v>
      </c>
      <c r="D148" t="s">
        <v>27</v>
      </c>
      <c r="E148">
        <v>1</v>
      </c>
      <c r="F148" t="s">
        <v>40</v>
      </c>
      <c r="G148" t="s">
        <v>39</v>
      </c>
      <c r="H148">
        <v>5.0560000000000001E-2</v>
      </c>
      <c r="I148">
        <v>14.953530000000001</v>
      </c>
      <c r="J148">
        <v>5.0909999999999997E-2</v>
      </c>
      <c r="K148">
        <v>14.978479999999999</v>
      </c>
      <c r="L148">
        <f t="shared" si="14"/>
        <v>2.4949999999998695E-2</v>
      </c>
      <c r="M148">
        <f t="shared" si="15"/>
        <v>0.49008053427614806</v>
      </c>
      <c r="N148">
        <f t="shared" si="16"/>
        <v>2.4778471813002047E-2</v>
      </c>
      <c r="O148">
        <v>3626.6149999999998</v>
      </c>
      <c r="P148">
        <f t="shared" si="17"/>
        <v>146.36152815917404</v>
      </c>
      <c r="Q148">
        <v>918.41833599602148</v>
      </c>
      <c r="R148" t="s">
        <v>2</v>
      </c>
      <c r="S148">
        <v>3.77</v>
      </c>
      <c r="T148">
        <v>43.98</v>
      </c>
      <c r="U148" s="12">
        <v>36505.4</v>
      </c>
      <c r="V148">
        <v>79</v>
      </c>
      <c r="W148" s="12">
        <v>36498.647259999991</v>
      </c>
      <c r="X148">
        <v>78</v>
      </c>
      <c r="Y148">
        <v>384</v>
      </c>
      <c r="Z148">
        <v>2210.7719699999998</v>
      </c>
      <c r="AA148">
        <v>1282.6674800000001</v>
      </c>
    </row>
    <row r="149" spans="1:27" x14ac:dyDescent="0.2">
      <c r="A149">
        <v>387</v>
      </c>
      <c r="B149" t="s">
        <v>35</v>
      </c>
      <c r="C149" t="s">
        <v>45</v>
      </c>
      <c r="D149" t="s">
        <v>27</v>
      </c>
      <c r="E149">
        <v>1</v>
      </c>
      <c r="F149" t="s">
        <v>44</v>
      </c>
      <c r="G149" t="s">
        <v>28</v>
      </c>
      <c r="H149">
        <v>4.9480000000000003E-2</v>
      </c>
      <c r="I149">
        <v>14.928839999999999</v>
      </c>
      <c r="J149">
        <v>5.0689999999999999E-2</v>
      </c>
      <c r="K149">
        <v>14.94969</v>
      </c>
      <c r="L149">
        <f t="shared" si="14"/>
        <v>2.0850000000001145E-2</v>
      </c>
      <c r="M149">
        <f t="shared" si="15"/>
        <v>0.41132373249163828</v>
      </c>
      <c r="N149">
        <f t="shared" si="16"/>
        <v>2.0352298283686263E-2</v>
      </c>
      <c r="O149">
        <v>2555.5162500000001</v>
      </c>
      <c r="P149">
        <f t="shared" si="17"/>
        <v>125.56401318314101</v>
      </c>
      <c r="Q149">
        <v>1196.0682090790413</v>
      </c>
      <c r="R149" t="s">
        <v>2</v>
      </c>
      <c r="S149">
        <v>3.8</v>
      </c>
      <c r="T149">
        <v>43.34</v>
      </c>
      <c r="U149" s="12">
        <v>37843.9</v>
      </c>
      <c r="V149">
        <v>81</v>
      </c>
      <c r="W149" s="12">
        <v>37843.891489999995</v>
      </c>
      <c r="X149">
        <v>81</v>
      </c>
      <c r="Y149">
        <v>387</v>
      </c>
      <c r="Z149">
        <v>1649.15039</v>
      </c>
      <c r="AA149">
        <v>1420.2446299999999</v>
      </c>
    </row>
    <row r="150" spans="1:27" x14ac:dyDescent="0.2">
      <c r="A150">
        <v>388</v>
      </c>
      <c r="B150" t="s">
        <v>29</v>
      </c>
      <c r="C150" t="s">
        <v>42</v>
      </c>
      <c r="D150" t="s">
        <v>33</v>
      </c>
      <c r="E150">
        <v>1</v>
      </c>
      <c r="G150" t="s">
        <v>34</v>
      </c>
      <c r="H150">
        <v>5.1409999999999997E-2</v>
      </c>
      <c r="I150">
        <v>14.96707</v>
      </c>
      <c r="J150">
        <v>5.0939999999999999E-2</v>
      </c>
      <c r="K150">
        <v>14.98602</v>
      </c>
      <c r="L150">
        <f t="shared" si="14"/>
        <v>1.8950000000000244E-2</v>
      </c>
      <c r="M150">
        <f t="shared" si="15"/>
        <v>0.37200628190027962</v>
      </c>
      <c r="N150">
        <f t="shared" si="16"/>
        <v>1.9124842952493375E-2</v>
      </c>
      <c r="O150">
        <v>3323.6987499999996</v>
      </c>
      <c r="P150">
        <f t="shared" si="17"/>
        <v>173.78959703126228</v>
      </c>
      <c r="Q150">
        <v>2412.4514841174214</v>
      </c>
      <c r="R150" t="s">
        <v>2</v>
      </c>
      <c r="S150">
        <v>4.0199999999999996</v>
      </c>
      <c r="T150">
        <v>44.26</v>
      </c>
      <c r="U150" s="12">
        <v>37850.800000000003</v>
      </c>
      <c r="V150">
        <v>76</v>
      </c>
      <c r="W150" s="12">
        <v>37840.985610000003</v>
      </c>
      <c r="X150">
        <v>75</v>
      </c>
      <c r="Y150">
        <v>388</v>
      </c>
      <c r="Z150" s="14">
        <v>853.56329000000005</v>
      </c>
      <c r="AA150">
        <v>640.52362000000005</v>
      </c>
    </row>
    <row r="151" spans="1:27" x14ac:dyDescent="0.2">
      <c r="A151">
        <v>391</v>
      </c>
      <c r="B151" t="s">
        <v>29</v>
      </c>
      <c r="C151" t="s">
        <v>32</v>
      </c>
      <c r="D151" t="s">
        <v>33</v>
      </c>
      <c r="E151">
        <v>3</v>
      </c>
      <c r="G151" t="s">
        <v>28</v>
      </c>
      <c r="H151">
        <v>5.1090000000000003E-2</v>
      </c>
      <c r="I151">
        <v>15.10228</v>
      </c>
      <c r="J151">
        <v>5.0909999999999997E-2</v>
      </c>
      <c r="K151">
        <v>15.12407</v>
      </c>
      <c r="L151">
        <f t="shared" si="14"/>
        <v>2.178999999999931E-2</v>
      </c>
      <c r="M151">
        <f t="shared" si="15"/>
        <v>0.42801021410330603</v>
      </c>
      <c r="N151">
        <f t="shared" si="16"/>
        <v>2.1867041838537906E-2</v>
      </c>
      <c r="O151">
        <v>4820.2612499999996</v>
      </c>
      <c r="P151">
        <f t="shared" si="17"/>
        <v>220.43499461847173</v>
      </c>
      <c r="Q151">
        <v>3299.1290858838852</v>
      </c>
      <c r="R151" t="s">
        <v>2</v>
      </c>
      <c r="S151">
        <v>4.3600000000000003</v>
      </c>
      <c r="T151">
        <v>44.62</v>
      </c>
      <c r="U151" s="12">
        <v>31912.5</v>
      </c>
      <c r="V151">
        <v>72</v>
      </c>
      <c r="W151" s="12">
        <v>31912.503149999993</v>
      </c>
      <c r="X151">
        <v>72</v>
      </c>
      <c r="Y151">
        <v>391</v>
      </c>
      <c r="Z151">
        <v>2173.9614299999998</v>
      </c>
      <c r="AA151">
        <v>0</v>
      </c>
    </row>
    <row r="152" spans="1:27" x14ac:dyDescent="0.2">
      <c r="A152">
        <v>392</v>
      </c>
      <c r="B152" t="s">
        <v>35</v>
      </c>
      <c r="C152" t="s">
        <v>45</v>
      </c>
      <c r="D152" t="s">
        <v>27</v>
      </c>
      <c r="E152">
        <v>1</v>
      </c>
      <c r="F152" t="s">
        <v>40</v>
      </c>
      <c r="G152" t="s">
        <v>39</v>
      </c>
      <c r="H152">
        <v>5.0450000000000002E-2</v>
      </c>
      <c r="I152">
        <v>14.88997</v>
      </c>
      <c r="J152">
        <v>5.117E-2</v>
      </c>
      <c r="K152">
        <v>14.914400000000001</v>
      </c>
      <c r="L152">
        <f t="shared" si="14"/>
        <v>2.4430000000000618E-2</v>
      </c>
      <c r="M152">
        <f t="shared" si="15"/>
        <v>0.47742818057456748</v>
      </c>
      <c r="N152">
        <f t="shared" si="16"/>
        <v>2.408625170998693E-2</v>
      </c>
      <c r="O152">
        <v>3470.2150000000001</v>
      </c>
      <c r="P152">
        <f t="shared" si="17"/>
        <v>144.0745136181209</v>
      </c>
      <c r="Q152">
        <v>2659.660799888507</v>
      </c>
      <c r="R152" t="s">
        <v>2</v>
      </c>
      <c r="S152">
        <v>3.43</v>
      </c>
      <c r="T152">
        <v>44.32</v>
      </c>
      <c r="U152" s="12">
        <v>48369.599999999999</v>
      </c>
      <c r="V152">
        <v>75</v>
      </c>
      <c r="W152" s="12">
        <v>48369.599999999999</v>
      </c>
      <c r="X152">
        <v>75</v>
      </c>
      <c r="Y152">
        <v>392</v>
      </c>
      <c r="Z152">
        <v>3900.8095699999999</v>
      </c>
      <c r="AA152">
        <v>1269.0692100000001</v>
      </c>
    </row>
    <row r="153" spans="1:27" x14ac:dyDescent="0.2">
      <c r="A153">
        <v>394</v>
      </c>
      <c r="B153" t="s">
        <v>29</v>
      </c>
      <c r="C153" t="s">
        <v>32</v>
      </c>
      <c r="D153" t="s">
        <v>33</v>
      </c>
      <c r="E153">
        <v>1</v>
      </c>
      <c r="F153" t="s">
        <v>40</v>
      </c>
      <c r="G153" t="s">
        <v>28</v>
      </c>
      <c r="H153">
        <v>4.9660000000000003E-2</v>
      </c>
      <c r="I153">
        <v>14.938879999999999</v>
      </c>
      <c r="J153">
        <v>5.1020000000000003E-2</v>
      </c>
      <c r="K153">
        <v>14.958019999999999</v>
      </c>
      <c r="L153">
        <f t="shared" si="14"/>
        <v>1.9140000000000157E-2</v>
      </c>
      <c r="M153">
        <f t="shared" si="15"/>
        <v>0.37514700117601246</v>
      </c>
      <c r="N153">
        <f t="shared" si="16"/>
        <v>1.8629800078400781E-2</v>
      </c>
      <c r="O153">
        <v>2707.0487499999999</v>
      </c>
      <c r="P153">
        <f t="shared" si="17"/>
        <v>145.30745035415208</v>
      </c>
      <c r="Q153">
        <v>51935.003432330806</v>
      </c>
      <c r="R153" t="s">
        <v>3</v>
      </c>
      <c r="S153">
        <v>2.89</v>
      </c>
      <c r="T153">
        <v>44.46</v>
      </c>
      <c r="U153" s="12">
        <v>26218</v>
      </c>
      <c r="V153">
        <v>71</v>
      </c>
      <c r="W153" s="12">
        <v>26218</v>
      </c>
      <c r="X153">
        <v>71</v>
      </c>
      <c r="Y153">
        <v>394</v>
      </c>
      <c r="Z153">
        <v>1836.9093</v>
      </c>
      <c r="AA153">
        <v>1091.39417</v>
      </c>
    </row>
    <row r="154" spans="1:27" x14ac:dyDescent="0.2">
      <c r="A154">
        <v>401</v>
      </c>
      <c r="B154" t="s">
        <v>25</v>
      </c>
      <c r="C154" t="s">
        <v>42</v>
      </c>
      <c r="D154" t="s">
        <v>33</v>
      </c>
      <c r="E154">
        <v>1</v>
      </c>
      <c r="G154" t="s">
        <v>31</v>
      </c>
      <c r="H154">
        <v>5.1580000000000001E-2</v>
      </c>
      <c r="I154">
        <v>14.894819999999999</v>
      </c>
      <c r="J154">
        <v>4.9459999999999997E-2</v>
      </c>
      <c r="K154">
        <v>14.917479999999999</v>
      </c>
      <c r="L154">
        <f t="shared" si="14"/>
        <v>2.2660000000000124E-2</v>
      </c>
      <c r="M154">
        <f t="shared" si="15"/>
        <v>0.45814799838253389</v>
      </c>
      <c r="N154">
        <f t="shared" si="16"/>
        <v>2.3631273756571099E-2</v>
      </c>
      <c r="O154">
        <v>12523.8375</v>
      </c>
      <c r="P154">
        <f t="shared" si="17"/>
        <v>529.96878750632402</v>
      </c>
      <c r="Q154">
        <v>1319.9971633640373</v>
      </c>
      <c r="R154" t="s">
        <v>2</v>
      </c>
      <c r="S154">
        <v>3.04</v>
      </c>
      <c r="T154">
        <v>46.07</v>
      </c>
      <c r="U154" s="12">
        <v>11897.8</v>
      </c>
      <c r="V154">
        <v>61</v>
      </c>
      <c r="W154" s="12">
        <v>10533.246290000001</v>
      </c>
      <c r="X154">
        <v>46</v>
      </c>
      <c r="Y154">
        <v>401</v>
      </c>
      <c r="Z154">
        <v>1153.5354</v>
      </c>
      <c r="AA154">
        <v>0</v>
      </c>
    </row>
    <row r="155" spans="1:27" x14ac:dyDescent="0.2">
      <c r="A155">
        <v>403</v>
      </c>
      <c r="B155" t="s">
        <v>25</v>
      </c>
      <c r="C155" t="s">
        <v>32</v>
      </c>
      <c r="D155" t="s">
        <v>27</v>
      </c>
      <c r="E155">
        <v>1</v>
      </c>
      <c r="F155" t="s">
        <v>40</v>
      </c>
      <c r="G155" t="s">
        <v>39</v>
      </c>
      <c r="H155">
        <v>5.006E-2</v>
      </c>
      <c r="I155">
        <v>14.793609999999999</v>
      </c>
      <c r="J155">
        <v>5.1749999999999997E-2</v>
      </c>
      <c r="K155">
        <v>14.81259</v>
      </c>
      <c r="L155">
        <f t="shared" si="14"/>
        <v>1.8980000000000885E-2</v>
      </c>
      <c r="M155">
        <f t="shared" si="15"/>
        <v>0.36676328502417171</v>
      </c>
      <c r="N155">
        <f t="shared" si="16"/>
        <v>1.8360170048310035E-2</v>
      </c>
      <c r="O155">
        <v>2596.3387499999999</v>
      </c>
      <c r="P155">
        <f t="shared" si="17"/>
        <v>141.4114762101008</v>
      </c>
      <c r="Q155">
        <v>14594.398926871592</v>
      </c>
      <c r="R155" t="s">
        <v>3</v>
      </c>
      <c r="S155">
        <v>2.33</v>
      </c>
      <c r="T155">
        <v>45.73</v>
      </c>
      <c r="U155" s="12">
        <v>26082.9</v>
      </c>
      <c r="V155">
        <v>64</v>
      </c>
      <c r="W155" s="12">
        <v>26082.919460000008</v>
      </c>
      <c r="X155">
        <v>64</v>
      </c>
      <c r="Y155">
        <v>403</v>
      </c>
      <c r="Z155">
        <v>2803.5769</v>
      </c>
      <c r="AA155">
        <v>0</v>
      </c>
    </row>
    <row r="156" spans="1:27" x14ac:dyDescent="0.2">
      <c r="A156">
        <v>405</v>
      </c>
      <c r="B156" t="s">
        <v>35</v>
      </c>
      <c r="C156" t="s">
        <v>26</v>
      </c>
      <c r="D156" t="s">
        <v>27</v>
      </c>
      <c r="E156">
        <v>1</v>
      </c>
      <c r="G156" t="s">
        <v>28</v>
      </c>
      <c r="H156">
        <v>5.1400000000000001E-2</v>
      </c>
      <c r="I156">
        <v>14.884930000000001</v>
      </c>
      <c r="J156">
        <v>5.1369999999999999E-2</v>
      </c>
      <c r="K156">
        <v>14.911530000000001</v>
      </c>
      <c r="L156">
        <f t="shared" si="14"/>
        <v>2.6600000000000179E-2</v>
      </c>
      <c r="M156">
        <f t="shared" si="15"/>
        <v>0.5178119525014635</v>
      </c>
      <c r="N156">
        <f t="shared" si="16"/>
        <v>2.6615534358575225E-2</v>
      </c>
      <c r="O156">
        <v>2894.7712499999998</v>
      </c>
      <c r="P156">
        <f t="shared" si="17"/>
        <v>108.76246972916165</v>
      </c>
      <c r="Q156">
        <v>2144.6605848506319</v>
      </c>
      <c r="R156" t="s">
        <v>2</v>
      </c>
      <c r="S156">
        <v>3.78</v>
      </c>
      <c r="T156">
        <v>44.68</v>
      </c>
      <c r="U156" s="12">
        <v>24985.9</v>
      </c>
      <c r="V156">
        <v>72</v>
      </c>
      <c r="W156" s="12">
        <v>24985.9</v>
      </c>
      <c r="X156">
        <v>72</v>
      </c>
      <c r="Y156">
        <v>405</v>
      </c>
      <c r="Z156">
        <v>5125.1845700000003</v>
      </c>
      <c r="AA156">
        <v>0</v>
      </c>
    </row>
    <row r="157" spans="1:27" x14ac:dyDescent="0.2">
      <c r="A157">
        <v>409</v>
      </c>
      <c r="B157" t="s">
        <v>29</v>
      </c>
      <c r="C157" t="s">
        <v>26</v>
      </c>
      <c r="D157" t="s">
        <v>33</v>
      </c>
      <c r="E157">
        <v>3</v>
      </c>
      <c r="F157" t="s">
        <v>40</v>
      </c>
      <c r="G157" t="s">
        <v>28</v>
      </c>
      <c r="H157">
        <v>4.9619999999999997E-2</v>
      </c>
      <c r="I157">
        <v>14.813650000000001</v>
      </c>
      <c r="J157">
        <v>5.1429999999999997E-2</v>
      </c>
      <c r="K157">
        <v>14.83649</v>
      </c>
      <c r="L157">
        <f t="shared" si="14"/>
        <v>2.2839999999998639E-2</v>
      </c>
      <c r="M157">
        <f t="shared" si="15"/>
        <v>0.44409877503400041</v>
      </c>
      <c r="N157">
        <f t="shared" si="16"/>
        <v>2.20361812171871E-2</v>
      </c>
      <c r="O157">
        <v>4082.9100000000008</v>
      </c>
      <c r="P157">
        <f t="shared" si="17"/>
        <v>185.28210309032761</v>
      </c>
      <c r="Q157">
        <v>43936.544121634783</v>
      </c>
      <c r="R157" t="s">
        <v>3</v>
      </c>
      <c r="S157">
        <v>3.35</v>
      </c>
      <c r="T157">
        <v>45.24</v>
      </c>
      <c r="U157" s="12">
        <v>22431.3</v>
      </c>
      <c r="V157">
        <v>62</v>
      </c>
      <c r="W157" s="12">
        <v>22431.3</v>
      </c>
      <c r="X157">
        <v>62</v>
      </c>
      <c r="Y157">
        <v>409</v>
      </c>
      <c r="Z157">
        <v>1884.74182</v>
      </c>
      <c r="AA157">
        <v>890.52020000000005</v>
      </c>
    </row>
    <row r="158" spans="1:27" x14ac:dyDescent="0.2">
      <c r="A158">
        <v>413</v>
      </c>
      <c r="B158" t="s">
        <v>25</v>
      </c>
      <c r="C158" t="s">
        <v>32</v>
      </c>
      <c r="D158" t="s">
        <v>33</v>
      </c>
      <c r="E158">
        <v>2</v>
      </c>
      <c r="F158" t="s">
        <v>40</v>
      </c>
      <c r="G158" t="s">
        <v>28</v>
      </c>
      <c r="H158">
        <v>5.058E-2</v>
      </c>
      <c r="I158">
        <v>14.919829999999999</v>
      </c>
      <c r="J158">
        <v>5.2159999999999998E-2</v>
      </c>
      <c r="K158">
        <v>14.94402</v>
      </c>
      <c r="L158">
        <f t="shared" si="14"/>
        <v>2.4190000000000822E-2</v>
      </c>
      <c r="M158">
        <f t="shared" si="15"/>
        <v>0.46376533742332865</v>
      </c>
      <c r="N158">
        <f t="shared" si="16"/>
        <v>2.3457250766871964E-2</v>
      </c>
      <c r="O158">
        <v>3156.3112499999997</v>
      </c>
      <c r="P158">
        <f t="shared" si="17"/>
        <v>134.55588983418178</v>
      </c>
      <c r="Q158">
        <v>3003.016478041171</v>
      </c>
      <c r="R158" t="s">
        <v>2</v>
      </c>
      <c r="S158">
        <v>3.1100000000000003</v>
      </c>
      <c r="T158">
        <v>43.484999999999999</v>
      </c>
      <c r="U158" s="12">
        <v>48984.9</v>
      </c>
      <c r="V158">
        <v>72</v>
      </c>
      <c r="W158" s="12">
        <v>48984.894850000026</v>
      </c>
      <c r="X158">
        <v>72</v>
      </c>
      <c r="Y158">
        <v>413</v>
      </c>
      <c r="Z158">
        <v>3754.88672</v>
      </c>
      <c r="AA158">
        <v>497.15487999999999</v>
      </c>
    </row>
    <row r="159" spans="1:27" x14ac:dyDescent="0.2">
      <c r="A159">
        <v>417</v>
      </c>
      <c r="B159" t="s">
        <v>35</v>
      </c>
      <c r="C159" t="s">
        <v>36</v>
      </c>
      <c r="D159" t="s">
        <v>27</v>
      </c>
      <c r="E159">
        <v>3</v>
      </c>
      <c r="G159" t="s">
        <v>31</v>
      </c>
      <c r="H159">
        <v>5.0689999999999999E-2</v>
      </c>
      <c r="I159">
        <v>14.88006</v>
      </c>
      <c r="J159">
        <v>5.0380000000000001E-2</v>
      </c>
      <c r="K159">
        <v>14.902010000000001</v>
      </c>
      <c r="L159">
        <f t="shared" si="14"/>
        <v>2.1950000000000358E-2</v>
      </c>
      <c r="M159">
        <f t="shared" si="15"/>
        <v>0.43568876538309564</v>
      </c>
      <c r="N159">
        <f t="shared" si="16"/>
        <v>2.2085063517269118E-2</v>
      </c>
      <c r="O159">
        <v>2603.8387499999999</v>
      </c>
      <c r="P159">
        <f t="shared" si="17"/>
        <v>117.90044198713593</v>
      </c>
      <c r="Q159">
        <v>7957.4999042625359</v>
      </c>
      <c r="R159" t="s">
        <v>3</v>
      </c>
      <c r="S159">
        <v>3.73</v>
      </c>
      <c r="T159">
        <v>43.46</v>
      </c>
      <c r="U159" s="12">
        <v>18324.900000000001</v>
      </c>
      <c r="V159">
        <v>78</v>
      </c>
      <c r="W159" s="12">
        <v>18299.907759999995</v>
      </c>
      <c r="X159">
        <v>76</v>
      </c>
      <c r="Y159">
        <v>417</v>
      </c>
      <c r="Z159">
        <v>2892.1789600000002</v>
      </c>
      <c r="AA159">
        <v>749.22051999999996</v>
      </c>
    </row>
    <row r="160" spans="1:27" x14ac:dyDescent="0.2">
      <c r="A160">
        <v>418</v>
      </c>
      <c r="B160" t="s">
        <v>35</v>
      </c>
      <c r="C160" t="s">
        <v>30</v>
      </c>
      <c r="D160" t="s">
        <v>27</v>
      </c>
      <c r="E160">
        <v>1</v>
      </c>
      <c r="G160" t="s">
        <v>31</v>
      </c>
      <c r="H160">
        <v>4.9520000000000002E-2</v>
      </c>
      <c r="I160">
        <v>14.879720000000001</v>
      </c>
      <c r="J160">
        <v>5.0040000000000001E-2</v>
      </c>
      <c r="K160">
        <v>14.896649999999999</v>
      </c>
      <c r="L160">
        <f t="shared" si="14"/>
        <v>1.6929999999998557E-2</v>
      </c>
      <c r="M160">
        <f t="shared" si="15"/>
        <v>0.33832933653074654</v>
      </c>
      <c r="N160">
        <f t="shared" si="16"/>
        <v>1.675406874500257E-2</v>
      </c>
      <c r="O160">
        <v>2334.1424999999999</v>
      </c>
      <c r="P160">
        <f t="shared" si="17"/>
        <v>139.31794930089634</v>
      </c>
      <c r="Q160">
        <v>32935.58602443181</v>
      </c>
      <c r="R160" t="s">
        <v>3</v>
      </c>
      <c r="S160">
        <v>4.0199999999999996</v>
      </c>
      <c r="T160">
        <v>44.79</v>
      </c>
      <c r="U160" s="12">
        <v>33270.6</v>
      </c>
      <c r="V160">
        <v>71</v>
      </c>
      <c r="W160" s="12">
        <v>33265.349279999988</v>
      </c>
      <c r="X160">
        <v>70</v>
      </c>
      <c r="Y160">
        <v>418</v>
      </c>
      <c r="Z160">
        <v>3032.7077599999998</v>
      </c>
      <c r="AA160">
        <v>832.78503000000001</v>
      </c>
    </row>
    <row r="161" spans="1:27" x14ac:dyDescent="0.2">
      <c r="A161">
        <v>421</v>
      </c>
      <c r="B161" t="s">
        <v>25</v>
      </c>
      <c r="C161" t="s">
        <v>26</v>
      </c>
      <c r="D161" t="s">
        <v>33</v>
      </c>
      <c r="E161">
        <v>1</v>
      </c>
      <c r="G161" t="s">
        <v>34</v>
      </c>
      <c r="H161">
        <v>4.9119999999999997E-2</v>
      </c>
      <c r="I161">
        <v>14.815659999999999</v>
      </c>
      <c r="J161">
        <v>5.1139999999999998E-2</v>
      </c>
      <c r="K161">
        <v>14.83972</v>
      </c>
      <c r="L161">
        <f t="shared" si="14"/>
        <v>2.4060000000000414E-2</v>
      </c>
      <c r="M161">
        <f t="shared" si="15"/>
        <v>0.47047321079390725</v>
      </c>
      <c r="N161">
        <f t="shared" si="16"/>
        <v>2.3109644114196724E-2</v>
      </c>
      <c r="O161">
        <v>2162.15</v>
      </c>
      <c r="P161">
        <f t="shared" si="17"/>
        <v>93.560506138290009</v>
      </c>
      <c r="Q161">
        <v>14797.49900054007</v>
      </c>
      <c r="R161" t="s">
        <v>3</v>
      </c>
      <c r="S161">
        <v>2.63</v>
      </c>
      <c r="T161">
        <v>46.25</v>
      </c>
      <c r="U161" s="12">
        <v>30512.799999999999</v>
      </c>
      <c r="V161">
        <v>64</v>
      </c>
      <c r="W161" s="12">
        <v>30507.970470000004</v>
      </c>
      <c r="X161">
        <v>63</v>
      </c>
      <c r="Y161">
        <v>421</v>
      </c>
      <c r="Z161">
        <v>3859.0158700000002</v>
      </c>
      <c r="AA161">
        <v>0</v>
      </c>
    </row>
    <row r="162" spans="1:27" x14ac:dyDescent="0.2">
      <c r="A162">
        <v>423</v>
      </c>
      <c r="B162" t="s">
        <v>29</v>
      </c>
      <c r="C162" t="s">
        <v>43</v>
      </c>
      <c r="D162" t="s">
        <v>27</v>
      </c>
      <c r="E162">
        <v>1</v>
      </c>
      <c r="F162" t="s">
        <v>51</v>
      </c>
      <c r="G162" t="s">
        <v>28</v>
      </c>
      <c r="H162">
        <v>4.9020000000000001E-2</v>
      </c>
      <c r="I162">
        <v>14.964829999999999</v>
      </c>
      <c r="J162">
        <v>5.0770000000000003E-2</v>
      </c>
      <c r="K162">
        <v>14.985620000000001</v>
      </c>
      <c r="L162">
        <f t="shared" ref="L162:L172" si="18">K162-I162</f>
        <v>2.0790000000001641E-2</v>
      </c>
      <c r="M162">
        <f t="shared" ref="M162:M172" si="19">L162/J162</f>
        <v>0.40949379554858456</v>
      </c>
      <c r="N162">
        <f t="shared" ref="N162:N172" si="20">M162*H162</f>
        <v>2.0073385857791615E-2</v>
      </c>
      <c r="O162">
        <v>5264.9037500000013</v>
      </c>
      <c r="P162">
        <f t="shared" si="17"/>
        <v>262.28279510486243</v>
      </c>
      <c r="Q162">
        <v>2438.6419241943795</v>
      </c>
      <c r="R162" t="s">
        <v>2</v>
      </c>
      <c r="S162">
        <v>2.97</v>
      </c>
      <c r="T162">
        <v>45.54</v>
      </c>
      <c r="U162" s="12">
        <v>21235.9</v>
      </c>
      <c r="V162">
        <v>73</v>
      </c>
      <c r="W162" s="12">
        <v>21225.177800000012</v>
      </c>
      <c r="X162">
        <v>71</v>
      </c>
      <c r="Y162">
        <v>423</v>
      </c>
      <c r="Z162">
        <v>2047.0732399999999</v>
      </c>
      <c r="AA162">
        <v>869.01819</v>
      </c>
    </row>
    <row r="163" spans="1:27" x14ac:dyDescent="0.2">
      <c r="A163">
        <v>425</v>
      </c>
      <c r="B163" t="s">
        <v>35</v>
      </c>
      <c r="C163" t="s">
        <v>36</v>
      </c>
      <c r="D163" t="s">
        <v>27</v>
      </c>
      <c r="E163">
        <v>3</v>
      </c>
      <c r="G163" t="s">
        <v>39</v>
      </c>
      <c r="H163">
        <v>4.999E-2</v>
      </c>
      <c r="I163">
        <v>14.91919</v>
      </c>
      <c r="J163">
        <v>4.956E-2</v>
      </c>
      <c r="K163">
        <v>14.93913</v>
      </c>
      <c r="L163">
        <f t="shared" si="18"/>
        <v>1.9940000000000069E-2</v>
      </c>
      <c r="M163">
        <f t="shared" si="19"/>
        <v>0.40234059725585286</v>
      </c>
      <c r="N163">
        <f t="shared" si="20"/>
        <v>2.0113006456820084E-2</v>
      </c>
      <c r="O163">
        <v>1928.645</v>
      </c>
      <c r="P163">
        <f t="shared" si="17"/>
        <v>95.890438067553006</v>
      </c>
      <c r="Q163">
        <v>773.6950076729172</v>
      </c>
      <c r="R163" t="s">
        <v>2</v>
      </c>
      <c r="S163">
        <v>3</v>
      </c>
      <c r="T163">
        <v>45.37</v>
      </c>
      <c r="U163" s="12">
        <v>37134.300000000003</v>
      </c>
      <c r="V163">
        <v>66</v>
      </c>
      <c r="W163" s="12">
        <v>37126.725490000012</v>
      </c>
      <c r="X163">
        <v>65</v>
      </c>
      <c r="Y163">
        <v>425</v>
      </c>
      <c r="Z163">
        <v>10296.299999999999</v>
      </c>
      <c r="AA163">
        <v>536.23395000000005</v>
      </c>
    </row>
    <row r="164" spans="1:27" x14ac:dyDescent="0.2">
      <c r="A164">
        <v>429</v>
      </c>
      <c r="B164" t="s">
        <v>29</v>
      </c>
      <c r="C164" t="s">
        <v>45</v>
      </c>
      <c r="D164" t="s">
        <v>33</v>
      </c>
      <c r="E164">
        <v>1</v>
      </c>
      <c r="G164" t="s">
        <v>28</v>
      </c>
      <c r="H164">
        <v>5.0090000000000003E-2</v>
      </c>
      <c r="I164">
        <v>14.907970000000001</v>
      </c>
      <c r="J164">
        <v>5.083E-2</v>
      </c>
      <c r="K164">
        <v>14.923410000000001</v>
      </c>
      <c r="L164">
        <f t="shared" si="18"/>
        <v>1.5439999999999898E-2</v>
      </c>
      <c r="M164">
        <f t="shared" si="19"/>
        <v>0.30375762345071605</v>
      </c>
      <c r="N164">
        <f t="shared" si="20"/>
        <v>1.5215219358646368E-2</v>
      </c>
      <c r="O164">
        <v>2686.4162499999998</v>
      </c>
      <c r="P164">
        <f t="shared" si="17"/>
        <v>176.56112519162514</v>
      </c>
      <c r="Q164">
        <v>86923.818131191219</v>
      </c>
      <c r="R164" t="s">
        <v>3</v>
      </c>
      <c r="S164">
        <v>4.01</v>
      </c>
      <c r="T164">
        <v>45.1</v>
      </c>
      <c r="U164" s="12">
        <v>15400.9</v>
      </c>
      <c r="V164">
        <v>59</v>
      </c>
      <c r="W164" s="12">
        <v>15400.9</v>
      </c>
      <c r="X164">
        <v>59</v>
      </c>
      <c r="Y164">
        <v>429</v>
      </c>
      <c r="Z164">
        <v>779.17334000000005</v>
      </c>
      <c r="AA164">
        <v>0</v>
      </c>
    </row>
    <row r="165" spans="1:27" x14ac:dyDescent="0.2">
      <c r="A165">
        <v>436</v>
      </c>
      <c r="B165" t="s">
        <v>35</v>
      </c>
      <c r="C165" t="s">
        <v>30</v>
      </c>
      <c r="D165" t="s">
        <v>27</v>
      </c>
      <c r="E165">
        <v>1</v>
      </c>
      <c r="F165" t="s">
        <v>40</v>
      </c>
      <c r="G165" t="s">
        <v>31</v>
      </c>
      <c r="H165">
        <v>5.2139999999999999E-2</v>
      </c>
      <c r="I165">
        <v>14.92266</v>
      </c>
      <c r="J165">
        <v>5.185E-2</v>
      </c>
      <c r="K165">
        <v>14.944050000000001</v>
      </c>
      <c r="L165">
        <f t="shared" si="18"/>
        <v>2.1390000000000242E-2</v>
      </c>
      <c r="M165">
        <f t="shared" si="19"/>
        <v>0.41253616200579057</v>
      </c>
      <c r="N165">
        <f t="shared" si="20"/>
        <v>2.1509635486981919E-2</v>
      </c>
      <c r="O165">
        <v>3612.4350000000004</v>
      </c>
      <c r="P165">
        <f t="shared" si="17"/>
        <v>167.94496597519384</v>
      </c>
      <c r="Q165">
        <v>32985.300108160242</v>
      </c>
      <c r="R165" t="s">
        <v>3</v>
      </c>
      <c r="S165">
        <v>3.81</v>
      </c>
      <c r="T165">
        <v>44.54</v>
      </c>
      <c r="U165" s="12">
        <v>37656.6</v>
      </c>
      <c r="V165">
        <v>75</v>
      </c>
      <c r="W165" s="12">
        <v>37620.7889</v>
      </c>
      <c r="X165">
        <v>73</v>
      </c>
      <c r="Y165">
        <v>436</v>
      </c>
      <c r="Z165">
        <v>6904.6010699999997</v>
      </c>
      <c r="AA165">
        <v>971.44281000000001</v>
      </c>
    </row>
    <row r="166" spans="1:27" x14ac:dyDescent="0.2">
      <c r="A166">
        <v>441</v>
      </c>
      <c r="B166" t="s">
        <v>29</v>
      </c>
      <c r="C166" t="s">
        <v>45</v>
      </c>
      <c r="D166" t="s">
        <v>33</v>
      </c>
      <c r="E166">
        <v>3</v>
      </c>
      <c r="G166" t="s">
        <v>39</v>
      </c>
      <c r="H166">
        <v>5.135E-2</v>
      </c>
      <c r="I166">
        <v>14.891030000000001</v>
      </c>
      <c r="J166">
        <v>4.904E-2</v>
      </c>
      <c r="K166">
        <v>14.910769999999999</v>
      </c>
      <c r="L166">
        <f t="shared" si="18"/>
        <v>1.9739999999998759E-2</v>
      </c>
      <c r="M166">
        <f t="shared" si="19"/>
        <v>0.40252854812395511</v>
      </c>
      <c r="N166">
        <f t="shared" si="20"/>
        <v>2.0669840946165096E-2</v>
      </c>
      <c r="O166">
        <v>2650.7650000000003</v>
      </c>
      <c r="P166">
        <f t="shared" si="17"/>
        <v>128.24312518436676</v>
      </c>
      <c r="Q166">
        <v>4354.2859421789681</v>
      </c>
      <c r="R166" t="s">
        <v>2</v>
      </c>
      <c r="S166">
        <v>4.13</v>
      </c>
      <c r="T166">
        <v>45.62</v>
      </c>
      <c r="U166" s="12">
        <v>36819.800000000003</v>
      </c>
      <c r="V166">
        <v>75</v>
      </c>
      <c r="W166" s="12">
        <v>36809.746180000002</v>
      </c>
      <c r="X166">
        <v>73</v>
      </c>
      <c r="Y166">
        <v>441</v>
      </c>
      <c r="Z166">
        <v>2206.3806199999999</v>
      </c>
      <c r="AA166">
        <v>899.93317000000002</v>
      </c>
    </row>
    <row r="167" spans="1:27" x14ac:dyDescent="0.2">
      <c r="A167">
        <v>442</v>
      </c>
      <c r="B167" t="s">
        <v>35</v>
      </c>
      <c r="C167" t="s">
        <v>46</v>
      </c>
      <c r="D167" t="s">
        <v>27</v>
      </c>
      <c r="E167">
        <v>1</v>
      </c>
      <c r="F167" t="s">
        <v>40</v>
      </c>
      <c r="G167" t="s">
        <v>34</v>
      </c>
      <c r="H167">
        <v>4.981E-2</v>
      </c>
      <c r="I167">
        <v>14.923310000000001</v>
      </c>
      <c r="J167">
        <v>4.9680000000000002E-2</v>
      </c>
      <c r="K167">
        <v>14.9452</v>
      </c>
      <c r="L167">
        <f t="shared" si="18"/>
        <v>2.1889999999999077E-2</v>
      </c>
      <c r="M167">
        <f t="shared" si="19"/>
        <v>0.44061996779386225</v>
      </c>
      <c r="N167">
        <f t="shared" si="20"/>
        <v>2.1947280595812278E-2</v>
      </c>
      <c r="O167">
        <v>2785.9799999999996</v>
      </c>
      <c r="P167">
        <f t="shared" si="17"/>
        <v>126.93964465609409</v>
      </c>
      <c r="Q167">
        <v>1725.0727540487001</v>
      </c>
      <c r="R167" t="s">
        <v>2</v>
      </c>
      <c r="S167">
        <v>3.3</v>
      </c>
      <c r="T167">
        <v>43.4</v>
      </c>
      <c r="U167" s="12">
        <v>39195.1</v>
      </c>
      <c r="V167">
        <v>67</v>
      </c>
      <c r="W167" s="12">
        <v>39184.316589999995</v>
      </c>
      <c r="X167">
        <v>65</v>
      </c>
      <c r="Y167">
        <v>442</v>
      </c>
      <c r="Z167">
        <v>9412.1484400000008</v>
      </c>
      <c r="AA167">
        <v>756.33203000000003</v>
      </c>
    </row>
    <row r="168" spans="1:27" x14ac:dyDescent="0.2">
      <c r="A168">
        <v>450</v>
      </c>
      <c r="B168" t="s">
        <v>29</v>
      </c>
      <c r="C168" t="s">
        <v>48</v>
      </c>
      <c r="D168" t="s">
        <v>33</v>
      </c>
      <c r="E168">
        <v>1</v>
      </c>
      <c r="G168" t="s">
        <v>28</v>
      </c>
      <c r="H168">
        <v>5.0009999999999999E-2</v>
      </c>
      <c r="I168">
        <v>15.03595</v>
      </c>
      <c r="J168">
        <v>5.1589999999999997E-2</v>
      </c>
      <c r="K168">
        <v>15.05395</v>
      </c>
      <c r="L168">
        <f t="shared" si="18"/>
        <v>1.8000000000000682E-2</v>
      </c>
      <c r="M168">
        <f t="shared" si="19"/>
        <v>0.34890482651678006</v>
      </c>
      <c r="N168">
        <f t="shared" si="20"/>
        <v>1.744873037410417E-2</v>
      </c>
      <c r="O168">
        <v>2730.0424999999996</v>
      </c>
      <c r="P168">
        <f t="shared" si="17"/>
        <v>156.46081069896536</v>
      </c>
      <c r="Q168">
        <v>902.51862195526905</v>
      </c>
      <c r="R168" t="s">
        <v>2</v>
      </c>
      <c r="S168">
        <v>3.04</v>
      </c>
      <c r="T168">
        <v>43.34</v>
      </c>
      <c r="U168" s="12">
        <v>34557.699999999997</v>
      </c>
      <c r="V168">
        <v>75</v>
      </c>
      <c r="W168" s="12">
        <v>34557.67718999998</v>
      </c>
      <c r="X168">
        <v>75</v>
      </c>
      <c r="Y168">
        <v>450</v>
      </c>
      <c r="Z168">
        <v>1375.41931</v>
      </c>
      <c r="AA168">
        <v>1217.19092</v>
      </c>
    </row>
    <row r="169" spans="1:27" x14ac:dyDescent="0.2">
      <c r="A169">
        <v>456</v>
      </c>
      <c r="B169" t="s">
        <v>25</v>
      </c>
      <c r="C169" t="s">
        <v>45</v>
      </c>
      <c r="D169" t="s">
        <v>33</v>
      </c>
      <c r="E169">
        <v>5</v>
      </c>
      <c r="G169" t="s">
        <v>34</v>
      </c>
      <c r="H169">
        <v>4.9639999999999997E-2</v>
      </c>
      <c r="I169">
        <v>14.861969999999999</v>
      </c>
      <c r="J169">
        <v>5.1209999999999999E-2</v>
      </c>
      <c r="K169">
        <v>14.88039</v>
      </c>
      <c r="L169">
        <f t="shared" si="18"/>
        <v>1.8420000000000769E-2</v>
      </c>
      <c r="M169">
        <f t="shared" si="19"/>
        <v>0.35969537199767171</v>
      </c>
      <c r="N169">
        <f t="shared" si="20"/>
        <v>1.7855278265964423E-2</v>
      </c>
      <c r="O169">
        <v>2381.0587500000001</v>
      </c>
      <c r="P169">
        <f t="shared" si="17"/>
        <v>133.35321435671793</v>
      </c>
      <c r="Q169">
        <v>21914.813134766817</v>
      </c>
      <c r="R169" t="s">
        <v>3</v>
      </c>
      <c r="S169">
        <v>1.72</v>
      </c>
      <c r="T169">
        <v>45.43</v>
      </c>
      <c r="U169" s="12">
        <v>17649.7</v>
      </c>
      <c r="V169">
        <v>68</v>
      </c>
      <c r="W169" s="12">
        <v>17588.851719999995</v>
      </c>
      <c r="X169">
        <v>66</v>
      </c>
      <c r="Y169">
        <v>456</v>
      </c>
      <c r="Z169">
        <v>85.234430000000003</v>
      </c>
      <c r="AA169">
        <v>382.06027</v>
      </c>
    </row>
    <row r="170" spans="1:27" x14ac:dyDescent="0.2">
      <c r="A170">
        <v>458</v>
      </c>
      <c r="B170" t="s">
        <v>25</v>
      </c>
      <c r="C170" t="s">
        <v>42</v>
      </c>
      <c r="D170" t="s">
        <v>33</v>
      </c>
      <c r="E170">
        <v>2</v>
      </c>
      <c r="F170" t="s">
        <v>40</v>
      </c>
      <c r="G170" t="s">
        <v>34</v>
      </c>
      <c r="H170">
        <v>5.1459999999999999E-2</v>
      </c>
      <c r="I170">
        <v>14.87973</v>
      </c>
      <c r="J170">
        <v>4.9779999999999998E-2</v>
      </c>
      <c r="K170">
        <v>14.901730000000001</v>
      </c>
      <c r="L170">
        <f t="shared" si="18"/>
        <v>2.2000000000000242E-2</v>
      </c>
      <c r="M170">
        <f t="shared" si="19"/>
        <v>0.44194455604660993</v>
      </c>
      <c r="N170">
        <f t="shared" si="20"/>
        <v>2.2742466854158545E-2</v>
      </c>
      <c r="O170">
        <v>3506.0825</v>
      </c>
      <c r="P170">
        <f t="shared" si="17"/>
        <v>154.16456457795823</v>
      </c>
      <c r="Q170">
        <v>1098.0662194435238</v>
      </c>
      <c r="R170" t="s">
        <v>2</v>
      </c>
      <c r="S170">
        <v>3.09</v>
      </c>
      <c r="T170">
        <v>42.92</v>
      </c>
      <c r="U170" s="12">
        <v>20357.900000000001</v>
      </c>
      <c r="V170">
        <v>64</v>
      </c>
      <c r="W170" s="12">
        <v>20357.902860000002</v>
      </c>
      <c r="X170">
        <v>64</v>
      </c>
      <c r="Y170">
        <v>458</v>
      </c>
      <c r="Z170">
        <v>6158.3110399999996</v>
      </c>
      <c r="AA170">
        <v>477.71026999999998</v>
      </c>
    </row>
    <row r="171" spans="1:27" x14ac:dyDescent="0.2">
      <c r="A171">
        <v>459</v>
      </c>
      <c r="B171" t="s">
        <v>25</v>
      </c>
      <c r="C171" t="s">
        <v>45</v>
      </c>
      <c r="D171" t="s">
        <v>33</v>
      </c>
      <c r="E171">
        <v>3</v>
      </c>
      <c r="G171" t="s">
        <v>34</v>
      </c>
      <c r="H171">
        <v>5.0180000000000002E-2</v>
      </c>
      <c r="I171">
        <v>14.839399999999999</v>
      </c>
      <c r="J171">
        <v>5.1630000000000002E-2</v>
      </c>
      <c r="K171">
        <v>14.863329999999999</v>
      </c>
      <c r="L171">
        <f t="shared" si="18"/>
        <v>2.3930000000000007E-2</v>
      </c>
      <c r="M171">
        <f t="shared" si="19"/>
        <v>0.46349021886500108</v>
      </c>
      <c r="N171">
        <f t="shared" si="20"/>
        <v>2.3257939182645754E-2</v>
      </c>
      <c r="O171">
        <v>3475.4224999999997</v>
      </c>
      <c r="P171">
        <f t="shared" si="17"/>
        <v>149.42951190590591</v>
      </c>
      <c r="Q171">
        <v>2482.7127095377132</v>
      </c>
      <c r="R171" t="s">
        <v>2</v>
      </c>
      <c r="S171">
        <v>2.64</v>
      </c>
      <c r="T171">
        <v>44.59</v>
      </c>
      <c r="U171" s="12">
        <v>43612</v>
      </c>
      <c r="V171">
        <v>66</v>
      </c>
      <c r="W171" s="12">
        <v>43600.469549999987</v>
      </c>
      <c r="X171">
        <v>64</v>
      </c>
      <c r="Y171">
        <v>459</v>
      </c>
      <c r="Z171">
        <v>10458.6</v>
      </c>
      <c r="AA171">
        <v>601.21234000000004</v>
      </c>
    </row>
    <row r="172" spans="1:27" x14ac:dyDescent="0.2">
      <c r="A172">
        <v>466</v>
      </c>
      <c r="B172" t="s">
        <v>29</v>
      </c>
      <c r="C172" t="s">
        <v>42</v>
      </c>
      <c r="D172" t="s">
        <v>33</v>
      </c>
      <c r="E172">
        <v>2</v>
      </c>
      <c r="F172" t="s">
        <v>41</v>
      </c>
      <c r="G172" t="s">
        <v>31</v>
      </c>
      <c r="H172">
        <v>5.033E-2</v>
      </c>
      <c r="I172">
        <v>15.00281</v>
      </c>
      <c r="J172">
        <v>5.0569999999999997E-2</v>
      </c>
      <c r="K172">
        <v>15.021520000000001</v>
      </c>
      <c r="L172">
        <f t="shared" si="18"/>
        <v>1.8710000000000448E-2</v>
      </c>
      <c r="M172">
        <f t="shared" si="19"/>
        <v>0.3699822028870961</v>
      </c>
      <c r="N172">
        <f t="shared" si="20"/>
        <v>1.8621204271307548E-2</v>
      </c>
      <c r="O172">
        <v>1659.0437500000003</v>
      </c>
      <c r="P172">
        <f t="shared" si="17"/>
        <v>89.094331699928517</v>
      </c>
      <c r="Q172">
        <v>3648.3687241268949</v>
      </c>
      <c r="R172" t="s">
        <v>2</v>
      </c>
      <c r="S172">
        <v>3.34</v>
      </c>
      <c r="T172">
        <v>42.6</v>
      </c>
      <c r="U172" s="12">
        <v>20772.5</v>
      </c>
      <c r="V172">
        <v>78</v>
      </c>
      <c r="W172" s="12">
        <v>20767.616120000002</v>
      </c>
      <c r="X172">
        <v>77</v>
      </c>
      <c r="Y172">
        <v>466</v>
      </c>
      <c r="Z172">
        <v>3054.6948200000002</v>
      </c>
      <c r="AA172">
        <v>657.75507000000005</v>
      </c>
    </row>
    <row r="182" spans="1:3" x14ac:dyDescent="0.2">
      <c r="A182" s="9"/>
      <c r="C182" s="9"/>
    </row>
  </sheetData>
  <sortState xmlns:xlrd2="http://schemas.microsoft.com/office/spreadsheetml/2017/richdata2" ref="A2:Y182">
    <sortCondition ref="A2:A18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82"/>
  <sheetViews>
    <sheetView topLeftCell="AL14" zoomScaleNormal="100" workbookViewId="0">
      <selection activeCell="BB144" sqref="BB144"/>
    </sheetView>
  </sheetViews>
  <sheetFormatPr baseColWidth="10" defaultColWidth="8.83203125" defaultRowHeight="15" x14ac:dyDescent="0.2"/>
  <cols>
    <col min="2" max="2" width="10.83203125" customWidth="1"/>
    <col min="3" max="3" width="14.33203125" customWidth="1"/>
    <col min="4" max="5" width="9.1640625" customWidth="1"/>
    <col min="31" max="31" width="10.1640625" bestFit="1" customWidth="1"/>
  </cols>
  <sheetData>
    <row r="1" spans="1:43" ht="223.5" customHeight="1" x14ac:dyDescent="0.2"/>
    <row r="2" spans="1:43" x14ac:dyDescent="0.2">
      <c r="A2" t="s">
        <v>86</v>
      </c>
      <c r="H2" t="s">
        <v>252</v>
      </c>
      <c r="O2" t="s">
        <v>253</v>
      </c>
    </row>
    <row r="3" spans="1:43" ht="96" x14ac:dyDescent="0.2">
      <c r="A3" s="7" t="s">
        <v>6</v>
      </c>
      <c r="B3" s="7" t="s">
        <v>7</v>
      </c>
      <c r="C3" s="7" t="s">
        <v>57</v>
      </c>
      <c r="D3" s="7" t="s">
        <v>20</v>
      </c>
      <c r="E3" s="7" t="s">
        <v>21</v>
      </c>
      <c r="F3" s="7" t="s">
        <v>9</v>
      </c>
      <c r="H3" s="7" t="s">
        <v>6</v>
      </c>
      <c r="I3" s="7" t="s">
        <v>7</v>
      </c>
      <c r="J3" s="7" t="s">
        <v>57</v>
      </c>
      <c r="K3" s="7" t="s">
        <v>20</v>
      </c>
      <c r="L3" s="7" t="s">
        <v>21</v>
      </c>
      <c r="M3" s="7" t="s">
        <v>9</v>
      </c>
      <c r="N3" s="7"/>
      <c r="O3" s="7" t="s">
        <v>6</v>
      </c>
      <c r="P3" s="7" t="s">
        <v>7</v>
      </c>
      <c r="Q3" s="7" t="s">
        <v>57</v>
      </c>
      <c r="R3" s="7" t="s">
        <v>20</v>
      </c>
      <c r="S3" s="7" t="s">
        <v>21</v>
      </c>
      <c r="T3" s="7" t="s">
        <v>9</v>
      </c>
      <c r="V3" s="29" t="s">
        <v>1</v>
      </c>
      <c r="W3" s="29"/>
      <c r="X3" s="29" t="s">
        <v>4</v>
      </c>
      <c r="Y3" s="29"/>
      <c r="Z3" s="29" t="s">
        <v>5</v>
      </c>
      <c r="AA3" s="29"/>
    </row>
    <row r="4" spans="1:43" x14ac:dyDescent="0.2">
      <c r="A4">
        <v>6</v>
      </c>
      <c r="B4" t="s">
        <v>25</v>
      </c>
      <c r="C4">
        <v>146.15098696353175</v>
      </c>
      <c r="D4">
        <v>1725.0727540487001</v>
      </c>
      <c r="E4" t="s">
        <v>2</v>
      </c>
      <c r="F4" t="s">
        <v>27</v>
      </c>
      <c r="H4">
        <v>6</v>
      </c>
      <c r="I4" t="s">
        <v>25</v>
      </c>
      <c r="J4">
        <v>146.15098696353175</v>
      </c>
      <c r="K4">
        <v>1725.072754</v>
      </c>
      <c r="L4" t="s">
        <v>2</v>
      </c>
      <c r="M4" t="s">
        <v>27</v>
      </c>
      <c r="O4">
        <v>6</v>
      </c>
      <c r="P4" t="s">
        <v>25</v>
      </c>
      <c r="Q4">
        <v>146.15098696353175</v>
      </c>
      <c r="R4">
        <v>1725.072754</v>
      </c>
      <c r="S4" t="s">
        <v>2</v>
      </c>
      <c r="T4" t="s">
        <v>27</v>
      </c>
      <c r="V4" t="s">
        <v>3</v>
      </c>
      <c r="W4" t="s">
        <v>2</v>
      </c>
      <c r="X4" t="s">
        <v>3</v>
      </c>
      <c r="Y4" t="s">
        <v>2</v>
      </c>
      <c r="Z4" t="s">
        <v>3</v>
      </c>
      <c r="AA4" t="s">
        <v>2</v>
      </c>
    </row>
    <row r="5" spans="1:43" x14ac:dyDescent="0.2">
      <c r="A5">
        <v>10</v>
      </c>
      <c r="B5" t="s">
        <v>29</v>
      </c>
      <c r="C5">
        <v>196.51698155955538</v>
      </c>
      <c r="D5">
        <v>1477.151731405896</v>
      </c>
      <c r="E5" t="s">
        <v>2</v>
      </c>
      <c r="F5" t="s">
        <v>27</v>
      </c>
      <c r="H5">
        <v>10</v>
      </c>
      <c r="I5" t="s">
        <v>29</v>
      </c>
      <c r="J5">
        <v>196.51698155955538</v>
      </c>
      <c r="K5">
        <v>1477.1517309999999</v>
      </c>
      <c r="L5" t="s">
        <v>2</v>
      </c>
      <c r="M5" t="s">
        <v>27</v>
      </c>
      <c r="O5">
        <v>10</v>
      </c>
      <c r="P5" t="s">
        <v>29</v>
      </c>
      <c r="Q5">
        <v>196.51698155955538</v>
      </c>
      <c r="R5">
        <v>1477.1517309999999</v>
      </c>
      <c r="S5" t="s">
        <v>2</v>
      </c>
      <c r="T5" t="s">
        <v>27</v>
      </c>
      <c r="V5">
        <v>100.82489213670438</v>
      </c>
      <c r="W5">
        <v>196.51698155955538</v>
      </c>
      <c r="X5">
        <v>121.52115231059126</v>
      </c>
      <c r="Y5">
        <v>146.15098696353175</v>
      </c>
      <c r="Z5">
        <v>127.73419492038602</v>
      </c>
      <c r="AA5">
        <v>98.407986233953807</v>
      </c>
      <c r="AE5" s="25" t="s">
        <v>1</v>
      </c>
      <c r="AF5" t="s">
        <v>263</v>
      </c>
      <c r="AG5" t="s">
        <v>264</v>
      </c>
    </row>
    <row r="6" spans="1:43" x14ac:dyDescent="0.2">
      <c r="A6">
        <v>15</v>
      </c>
      <c r="B6" t="s">
        <v>29</v>
      </c>
      <c r="C6">
        <v>194.81669726399687</v>
      </c>
      <c r="D6">
        <v>922.99516315900848</v>
      </c>
      <c r="E6" t="s">
        <v>2</v>
      </c>
      <c r="F6" t="s">
        <v>33</v>
      </c>
      <c r="H6">
        <v>15</v>
      </c>
      <c r="I6" t="s">
        <v>29</v>
      </c>
      <c r="J6">
        <v>194.81669726399687</v>
      </c>
      <c r="K6">
        <v>922.99516319999998</v>
      </c>
      <c r="L6" t="s">
        <v>2</v>
      </c>
      <c r="M6" t="s">
        <v>33</v>
      </c>
      <c r="O6">
        <v>15</v>
      </c>
      <c r="P6" t="s">
        <v>29</v>
      </c>
      <c r="Q6">
        <v>194.81669726399687</v>
      </c>
      <c r="R6">
        <v>922.99516319999998</v>
      </c>
      <c r="S6" t="s">
        <v>2</v>
      </c>
      <c r="T6" t="s">
        <v>33</v>
      </c>
      <c r="V6">
        <v>118.02323587360854</v>
      </c>
      <c r="W6">
        <v>194.81669726399687</v>
      </c>
      <c r="X6">
        <v>130.8345692807718</v>
      </c>
      <c r="Y6">
        <v>133.03939052645902</v>
      </c>
      <c r="Z6">
        <v>96.668747918213938</v>
      </c>
      <c r="AA6">
        <v>121.0198880459525</v>
      </c>
      <c r="AQ6" s="25" t="s">
        <v>4</v>
      </c>
    </row>
    <row r="7" spans="1:43" x14ac:dyDescent="0.2">
      <c r="A7">
        <v>17</v>
      </c>
      <c r="B7" t="s">
        <v>35</v>
      </c>
      <c r="C7">
        <v>98.407986233953807</v>
      </c>
      <c r="D7">
        <v>616.58133950221736</v>
      </c>
      <c r="E7" t="s">
        <v>2</v>
      </c>
      <c r="F7" t="s">
        <v>27</v>
      </c>
      <c r="H7">
        <v>17</v>
      </c>
      <c r="I7" t="s">
        <v>35</v>
      </c>
      <c r="J7">
        <v>98.407986233953807</v>
      </c>
      <c r="K7">
        <v>616.58133950000001</v>
      </c>
      <c r="L7" t="s">
        <v>2</v>
      </c>
      <c r="M7" t="s">
        <v>27</v>
      </c>
      <c r="O7">
        <v>17</v>
      </c>
      <c r="P7" t="s">
        <v>35</v>
      </c>
      <c r="Q7">
        <v>98.407986233953807</v>
      </c>
      <c r="R7">
        <v>616.58133950000001</v>
      </c>
      <c r="S7" t="s">
        <v>2</v>
      </c>
      <c r="T7" t="s">
        <v>27</v>
      </c>
      <c r="V7">
        <v>118.57898606073715</v>
      </c>
      <c r="W7">
        <v>91.633122051994363</v>
      </c>
      <c r="X7">
        <v>141.44065966190294</v>
      </c>
      <c r="Y7">
        <v>183.49622134017946</v>
      </c>
      <c r="Z7">
        <v>125.96277382505161</v>
      </c>
      <c r="AA7">
        <v>139.79623175524068</v>
      </c>
    </row>
    <row r="8" spans="1:43" x14ac:dyDescent="0.2">
      <c r="A8">
        <v>20</v>
      </c>
      <c r="B8" t="s">
        <v>29</v>
      </c>
      <c r="C8">
        <v>91.633122051994363</v>
      </c>
      <c r="D8">
        <v>2982.9294780949149</v>
      </c>
      <c r="E8" t="s">
        <v>2</v>
      </c>
      <c r="F8" t="s">
        <v>33</v>
      </c>
      <c r="H8">
        <v>20</v>
      </c>
      <c r="I8" t="s">
        <v>29</v>
      </c>
      <c r="J8">
        <v>91.633122051994363</v>
      </c>
      <c r="K8">
        <v>2982.929478</v>
      </c>
      <c r="L8" t="s">
        <v>2</v>
      </c>
      <c r="M8" t="s">
        <v>33</v>
      </c>
      <c r="O8">
        <v>20</v>
      </c>
      <c r="P8" t="s">
        <v>29</v>
      </c>
      <c r="Q8">
        <v>91.633122051994363</v>
      </c>
      <c r="R8">
        <v>2982.929478</v>
      </c>
      <c r="S8" t="s">
        <v>2</v>
      </c>
      <c r="T8" t="s">
        <v>33</v>
      </c>
      <c r="V8">
        <v>183.84221537744807</v>
      </c>
      <c r="W8">
        <v>130.82774580659071</v>
      </c>
      <c r="X8">
        <v>159.79638714605164</v>
      </c>
      <c r="Y8">
        <v>124.49262621306035</v>
      </c>
      <c r="Z8">
        <v>85.477818579595166</v>
      </c>
      <c r="AA8">
        <v>124.177332461623</v>
      </c>
    </row>
    <row r="9" spans="1:43" x14ac:dyDescent="0.2">
      <c r="A9">
        <v>23</v>
      </c>
      <c r="B9" t="s">
        <v>29</v>
      </c>
      <c r="C9">
        <v>130.82774580659071</v>
      </c>
      <c r="D9">
        <v>1373.0660240347561</v>
      </c>
      <c r="E9" t="s">
        <v>2</v>
      </c>
      <c r="F9" t="s">
        <v>27</v>
      </c>
      <c r="H9">
        <v>23</v>
      </c>
      <c r="I9" t="s">
        <v>29</v>
      </c>
      <c r="J9">
        <v>130.82774580659071</v>
      </c>
      <c r="K9">
        <v>1373.066024</v>
      </c>
      <c r="L9" t="s">
        <v>2</v>
      </c>
      <c r="M9" t="s">
        <v>27</v>
      </c>
      <c r="O9">
        <v>23</v>
      </c>
      <c r="P9" t="s">
        <v>29</v>
      </c>
      <c r="Q9">
        <v>130.82774580659071</v>
      </c>
      <c r="R9">
        <v>1373.066024</v>
      </c>
      <c r="S9" t="s">
        <v>2</v>
      </c>
      <c r="T9" t="s">
        <v>27</v>
      </c>
      <c r="V9">
        <v>208.74102430792894</v>
      </c>
      <c r="W9">
        <v>105.56276197879112</v>
      </c>
      <c r="X9">
        <v>111.37165529120355</v>
      </c>
      <c r="Y9">
        <v>125.23276552539758</v>
      </c>
      <c r="Z9">
        <v>164.32783413141897</v>
      </c>
      <c r="AA9">
        <v>157.60519872151085</v>
      </c>
    </row>
    <row r="10" spans="1:43" x14ac:dyDescent="0.2">
      <c r="A10">
        <v>25</v>
      </c>
      <c r="B10" t="s">
        <v>29</v>
      </c>
      <c r="C10">
        <v>105.56276197879112</v>
      </c>
      <c r="D10">
        <v>4510.8689016262942</v>
      </c>
      <c r="E10" t="s">
        <v>2</v>
      </c>
      <c r="F10" t="s">
        <v>33</v>
      </c>
      <c r="H10">
        <v>25</v>
      </c>
      <c r="I10" t="s">
        <v>29</v>
      </c>
      <c r="J10">
        <v>105.56276197879112</v>
      </c>
      <c r="K10">
        <v>4510.8689020000002</v>
      </c>
      <c r="L10" t="s">
        <v>2</v>
      </c>
      <c r="M10" t="s">
        <v>33</v>
      </c>
      <c r="O10">
        <v>25</v>
      </c>
      <c r="P10" t="s">
        <v>29</v>
      </c>
      <c r="Q10">
        <v>105.56276197879112</v>
      </c>
      <c r="R10">
        <v>4510.8689020000002</v>
      </c>
      <c r="S10" t="s">
        <v>2</v>
      </c>
      <c r="T10" t="s">
        <v>33</v>
      </c>
      <c r="V10">
        <v>140.73781910911103</v>
      </c>
      <c r="W10">
        <v>153.84992662719947</v>
      </c>
      <c r="X10">
        <v>176.25009966636063</v>
      </c>
      <c r="Y10">
        <v>114.32002530257716</v>
      </c>
      <c r="Z10">
        <v>118.64875512591297</v>
      </c>
      <c r="AA10">
        <v>117.12143582383833</v>
      </c>
    </row>
    <row r="11" spans="1:43" x14ac:dyDescent="0.2">
      <c r="A11">
        <v>31</v>
      </c>
      <c r="B11" t="s">
        <v>29</v>
      </c>
      <c r="C11">
        <v>153.84992662719947</v>
      </c>
      <c r="D11">
        <v>1919.781239993162</v>
      </c>
      <c r="E11" t="s">
        <v>2</v>
      </c>
      <c r="F11" t="s">
        <v>33</v>
      </c>
      <c r="H11">
        <v>31</v>
      </c>
      <c r="I11" t="s">
        <v>29</v>
      </c>
      <c r="J11">
        <v>153.84992662719947</v>
      </c>
      <c r="K11">
        <v>1919.78124</v>
      </c>
      <c r="L11" t="s">
        <v>2</v>
      </c>
      <c r="M11" t="s">
        <v>33</v>
      </c>
      <c r="O11">
        <v>31</v>
      </c>
      <c r="P11" t="s">
        <v>29</v>
      </c>
      <c r="Q11">
        <v>153.84992662719947</v>
      </c>
      <c r="R11">
        <v>1919.78124</v>
      </c>
      <c r="S11" t="s">
        <v>2</v>
      </c>
      <c r="T11" t="s">
        <v>33</v>
      </c>
      <c r="V11">
        <v>122.37674056259128</v>
      </c>
      <c r="W11">
        <v>92.259098262813495</v>
      </c>
      <c r="X11">
        <v>109.08668716495183</v>
      </c>
      <c r="Y11">
        <v>105.48353950835173</v>
      </c>
      <c r="Z11">
        <v>132.29037298001734</v>
      </c>
      <c r="AA11">
        <v>101.97902593453252</v>
      </c>
    </row>
    <row r="12" spans="1:43" x14ac:dyDescent="0.2">
      <c r="A12">
        <v>42</v>
      </c>
      <c r="B12" t="s">
        <v>29</v>
      </c>
      <c r="C12">
        <v>100.82489213670438</v>
      </c>
      <c r="D12">
        <v>55338.964187336656</v>
      </c>
      <c r="E12" t="s">
        <v>3</v>
      </c>
      <c r="F12" t="s">
        <v>33</v>
      </c>
      <c r="H12">
        <v>42</v>
      </c>
      <c r="I12" t="s">
        <v>29</v>
      </c>
      <c r="J12">
        <v>100.82489213670438</v>
      </c>
      <c r="K12">
        <v>55338.964189999999</v>
      </c>
      <c r="L12" t="s">
        <v>3</v>
      </c>
      <c r="M12" t="s">
        <v>33</v>
      </c>
      <c r="O12">
        <v>42</v>
      </c>
      <c r="P12" t="s">
        <v>29</v>
      </c>
      <c r="Q12">
        <v>100.82489213670438</v>
      </c>
      <c r="R12">
        <v>55338.964189999999</v>
      </c>
      <c r="S12" t="s">
        <v>3</v>
      </c>
      <c r="T12" t="s">
        <v>33</v>
      </c>
      <c r="V12">
        <v>124.38420017914186</v>
      </c>
      <c r="W12">
        <v>153.2413593288783</v>
      </c>
      <c r="X12">
        <v>113.41924298929997</v>
      </c>
      <c r="Y12">
        <v>87.445125846829797</v>
      </c>
      <c r="Z12">
        <v>131.14413003489005</v>
      </c>
      <c r="AA12">
        <v>138.63901277668953</v>
      </c>
    </row>
    <row r="13" spans="1:43" x14ac:dyDescent="0.2">
      <c r="A13">
        <v>43</v>
      </c>
      <c r="B13" t="s">
        <v>25</v>
      </c>
      <c r="C13">
        <v>133.03939052645902</v>
      </c>
      <c r="D13">
        <v>3177.4090215219439</v>
      </c>
      <c r="E13" t="s">
        <v>2</v>
      </c>
      <c r="F13" t="s">
        <v>33</v>
      </c>
      <c r="H13">
        <v>43</v>
      </c>
      <c r="I13" t="s">
        <v>25</v>
      </c>
      <c r="J13">
        <v>133.03939052645902</v>
      </c>
      <c r="K13">
        <v>3177.4090219999998</v>
      </c>
      <c r="L13" t="s">
        <v>2</v>
      </c>
      <c r="M13" t="s">
        <v>33</v>
      </c>
      <c r="O13">
        <v>43</v>
      </c>
      <c r="P13" t="s">
        <v>25</v>
      </c>
      <c r="Q13">
        <v>133.03939052645902</v>
      </c>
      <c r="R13">
        <v>3177.4090219999998</v>
      </c>
      <c r="S13" t="s">
        <v>2</v>
      </c>
      <c r="T13" t="s">
        <v>33</v>
      </c>
      <c r="V13">
        <v>134.12755637107179</v>
      </c>
      <c r="W13">
        <v>122.27752217880661</v>
      </c>
      <c r="X13">
        <v>214.77920635942027</v>
      </c>
      <c r="Y13">
        <v>98.078476999510642</v>
      </c>
      <c r="Z13">
        <v>122.78798598519781</v>
      </c>
      <c r="AA13">
        <v>97.45224217028246</v>
      </c>
    </row>
    <row r="14" spans="1:43" x14ac:dyDescent="0.2">
      <c r="A14">
        <v>47</v>
      </c>
      <c r="B14" t="s">
        <v>29</v>
      </c>
      <c r="C14">
        <v>92.259098262813495</v>
      </c>
      <c r="D14">
        <v>3358.4257513428879</v>
      </c>
      <c r="E14" t="s">
        <v>2</v>
      </c>
      <c r="F14" t="s">
        <v>33</v>
      </c>
      <c r="H14">
        <v>47</v>
      </c>
      <c r="I14" t="s">
        <v>29</v>
      </c>
      <c r="J14">
        <v>92.259098262813495</v>
      </c>
      <c r="K14">
        <v>3358.4257510000002</v>
      </c>
      <c r="L14" t="s">
        <v>2</v>
      </c>
      <c r="M14" t="s">
        <v>33</v>
      </c>
      <c r="O14">
        <v>47</v>
      </c>
      <c r="P14" t="s">
        <v>29</v>
      </c>
      <c r="Q14">
        <v>92.259098262813495</v>
      </c>
      <c r="R14">
        <v>3358.4257510000002</v>
      </c>
      <c r="S14" t="s">
        <v>2</v>
      </c>
      <c r="T14" t="s">
        <v>33</v>
      </c>
      <c r="V14">
        <v>140.31305883076038</v>
      </c>
      <c r="W14">
        <v>107.41379933283315</v>
      </c>
      <c r="X14">
        <v>116.29144056056217</v>
      </c>
      <c r="Y14">
        <v>130.79874879760447</v>
      </c>
      <c r="Z14">
        <v>85.397668837575978</v>
      </c>
      <c r="AA14">
        <v>91.193761526707988</v>
      </c>
    </row>
    <row r="15" spans="1:43" x14ac:dyDescent="0.2">
      <c r="A15">
        <v>48</v>
      </c>
      <c r="B15" t="s">
        <v>25</v>
      </c>
      <c r="C15">
        <v>183.49622134017946</v>
      </c>
      <c r="D15">
        <v>3251.1360477688859</v>
      </c>
      <c r="E15" t="s">
        <v>2</v>
      </c>
      <c r="F15" t="s">
        <v>33</v>
      </c>
      <c r="H15">
        <v>48</v>
      </c>
      <c r="I15" t="s">
        <v>25</v>
      </c>
      <c r="J15">
        <v>183.49622134017946</v>
      </c>
      <c r="K15">
        <v>3251.1360479999998</v>
      </c>
      <c r="L15" t="s">
        <v>2</v>
      </c>
      <c r="M15" t="s">
        <v>33</v>
      </c>
      <c r="O15">
        <v>48</v>
      </c>
      <c r="P15" t="s">
        <v>25</v>
      </c>
      <c r="Q15">
        <v>183.49622134017946</v>
      </c>
      <c r="R15">
        <v>3251.1360479999998</v>
      </c>
      <c r="S15" t="s">
        <v>2</v>
      </c>
      <c r="T15" t="s">
        <v>33</v>
      </c>
      <c r="V15">
        <v>204.01419104514756</v>
      </c>
      <c r="W15">
        <v>137.37423357622333</v>
      </c>
      <c r="X15">
        <v>140.97247771143591</v>
      </c>
      <c r="Y15">
        <v>155.5783636148989</v>
      </c>
      <c r="Z15">
        <v>113.42654924640642</v>
      </c>
      <c r="AA15">
        <v>142.8379526984701</v>
      </c>
    </row>
    <row r="16" spans="1:43" x14ac:dyDescent="0.2">
      <c r="A16">
        <v>50</v>
      </c>
      <c r="B16" t="s">
        <v>35</v>
      </c>
      <c r="C16">
        <v>121.0198880459525</v>
      </c>
      <c r="D16">
        <v>3104.8051272150328</v>
      </c>
      <c r="E16" t="s">
        <v>2</v>
      </c>
      <c r="F16" t="s">
        <v>27</v>
      </c>
      <c r="H16">
        <v>50</v>
      </c>
      <c r="I16" t="s">
        <v>35</v>
      </c>
      <c r="J16">
        <v>121.0198880459525</v>
      </c>
      <c r="K16">
        <v>3104.8051270000001</v>
      </c>
      <c r="L16" t="s">
        <v>2</v>
      </c>
      <c r="M16" t="s">
        <v>27</v>
      </c>
      <c r="O16">
        <v>50</v>
      </c>
      <c r="P16" t="s">
        <v>35</v>
      </c>
      <c r="Q16">
        <v>121.0198880459525</v>
      </c>
      <c r="R16">
        <v>3104.8051270000001</v>
      </c>
      <c r="S16" t="s">
        <v>2</v>
      </c>
      <c r="T16" t="s">
        <v>27</v>
      </c>
      <c r="V16">
        <v>106.40251810931396</v>
      </c>
      <c r="W16">
        <v>131.12209982676288</v>
      </c>
      <c r="X16">
        <v>76.611798097013505</v>
      </c>
      <c r="Y16">
        <v>122.1407651913046</v>
      </c>
      <c r="Z16">
        <v>182.76386496070828</v>
      </c>
      <c r="AA16">
        <v>105.36344796894694</v>
      </c>
    </row>
    <row r="17" spans="1:27" x14ac:dyDescent="0.2">
      <c r="A17">
        <v>53</v>
      </c>
      <c r="B17" t="s">
        <v>29</v>
      </c>
      <c r="C17">
        <v>153.2413593288783</v>
      </c>
      <c r="D17">
        <v>2581.5306728871287</v>
      </c>
      <c r="E17" t="s">
        <v>2</v>
      </c>
      <c r="F17" t="s">
        <v>27</v>
      </c>
      <c r="H17">
        <v>53</v>
      </c>
      <c r="I17" t="s">
        <v>29</v>
      </c>
      <c r="J17">
        <v>153.2413593288783</v>
      </c>
      <c r="K17">
        <v>2581.5306730000002</v>
      </c>
      <c r="L17" t="s">
        <v>2</v>
      </c>
      <c r="M17" t="s">
        <v>27</v>
      </c>
      <c r="O17">
        <v>53</v>
      </c>
      <c r="P17" t="s">
        <v>29</v>
      </c>
      <c r="Q17">
        <v>153.2413593288783</v>
      </c>
      <c r="R17">
        <v>2581.5306730000002</v>
      </c>
      <c r="S17" t="s">
        <v>2</v>
      </c>
      <c r="T17" t="s">
        <v>27</v>
      </c>
      <c r="V17">
        <v>112.9683280938734</v>
      </c>
      <c r="W17">
        <v>111.22112664413842</v>
      </c>
      <c r="X17">
        <v>112.42724277459061</v>
      </c>
      <c r="Y17">
        <v>152.55587029579965</v>
      </c>
      <c r="Z17">
        <v>140.06975109383649</v>
      </c>
      <c r="AA17">
        <v>112.00320320612495</v>
      </c>
    </row>
    <row r="18" spans="1:27" x14ac:dyDescent="0.2">
      <c r="A18">
        <v>54</v>
      </c>
      <c r="B18" t="s">
        <v>29</v>
      </c>
      <c r="C18">
        <v>118.02323587360854</v>
      </c>
      <c r="D18">
        <v>11943.106411943594</v>
      </c>
      <c r="E18" t="s">
        <v>3</v>
      </c>
      <c r="F18" t="s">
        <v>27</v>
      </c>
      <c r="H18">
        <v>54</v>
      </c>
      <c r="I18" t="s">
        <v>29</v>
      </c>
      <c r="J18">
        <v>118.02323587360854</v>
      </c>
      <c r="K18">
        <v>11943.10641</v>
      </c>
      <c r="L18" t="s">
        <v>3</v>
      </c>
      <c r="M18" t="s">
        <v>27</v>
      </c>
      <c r="O18">
        <v>54</v>
      </c>
      <c r="P18" t="s">
        <v>29</v>
      </c>
      <c r="Q18">
        <v>118.02323587360854</v>
      </c>
      <c r="R18">
        <v>11943.10641</v>
      </c>
      <c r="S18" t="s">
        <v>3</v>
      </c>
      <c r="T18" t="s">
        <v>27</v>
      </c>
      <c r="V18">
        <v>125.44853194291655</v>
      </c>
      <c r="W18">
        <v>164.15567243963955</v>
      </c>
      <c r="X18">
        <v>89.603658071567565</v>
      </c>
      <c r="Y18">
        <v>111.28406582071685</v>
      </c>
      <c r="Z18">
        <v>149.28689333854987</v>
      </c>
      <c r="AA18">
        <v>117.83293801611948</v>
      </c>
    </row>
    <row r="19" spans="1:27" x14ac:dyDescent="0.2">
      <c r="A19">
        <v>55</v>
      </c>
      <c r="B19" t="s">
        <v>29</v>
      </c>
      <c r="C19">
        <v>122.27752217880661</v>
      </c>
      <c r="D19">
        <v>1430.6063109113359</v>
      </c>
      <c r="E19" t="s">
        <v>2</v>
      </c>
      <c r="F19" t="s">
        <v>33</v>
      </c>
      <c r="H19">
        <v>55</v>
      </c>
      <c r="I19" t="s">
        <v>29</v>
      </c>
      <c r="J19">
        <v>122.27752217880661</v>
      </c>
      <c r="K19">
        <v>1430.606311</v>
      </c>
      <c r="L19" t="s">
        <v>2</v>
      </c>
      <c r="M19" t="s">
        <v>33</v>
      </c>
      <c r="O19">
        <v>55</v>
      </c>
      <c r="P19" t="s">
        <v>29</v>
      </c>
      <c r="Q19">
        <v>122.27752217880661</v>
      </c>
      <c r="R19">
        <v>1430.606311</v>
      </c>
      <c r="S19" t="s">
        <v>2</v>
      </c>
      <c r="T19" t="s">
        <v>33</v>
      </c>
      <c r="V19">
        <v>208.98267807088641</v>
      </c>
      <c r="W19">
        <v>105.84342799787042</v>
      </c>
      <c r="X19">
        <v>87.058051347048902</v>
      </c>
      <c r="Y19">
        <v>180.46883233700856</v>
      </c>
      <c r="Z19">
        <v>117.39834135787679</v>
      </c>
      <c r="AA19">
        <v>89.818100186257041</v>
      </c>
    </row>
    <row r="20" spans="1:27" x14ac:dyDescent="0.2">
      <c r="A20">
        <v>56</v>
      </c>
      <c r="B20" t="s">
        <v>35</v>
      </c>
      <c r="C20">
        <v>139.79623175524068</v>
      </c>
      <c r="D20">
        <v>2242.6251952931575</v>
      </c>
      <c r="E20" t="s">
        <v>2</v>
      </c>
      <c r="F20" t="s">
        <v>27</v>
      </c>
      <c r="H20">
        <v>56</v>
      </c>
      <c r="I20" t="s">
        <v>35</v>
      </c>
      <c r="J20">
        <v>139.79623175524068</v>
      </c>
      <c r="K20">
        <v>2242.6251950000001</v>
      </c>
      <c r="L20" t="s">
        <v>2</v>
      </c>
      <c r="M20" t="s">
        <v>27</v>
      </c>
      <c r="O20">
        <v>56</v>
      </c>
      <c r="P20" t="s">
        <v>35</v>
      </c>
      <c r="Q20">
        <v>139.79623175524068</v>
      </c>
      <c r="R20">
        <v>2242.6251950000001</v>
      </c>
      <c r="S20" t="s">
        <v>2</v>
      </c>
      <c r="T20" t="s">
        <v>27</v>
      </c>
      <c r="V20">
        <v>128.33037722100261</v>
      </c>
      <c r="W20">
        <v>131.73516885847158</v>
      </c>
      <c r="X20">
        <v>89.159250886279025</v>
      </c>
      <c r="Y20">
        <v>108.17703393395827</v>
      </c>
      <c r="Z20">
        <v>148.84132986604754</v>
      </c>
      <c r="AA20">
        <v>90.166310231262088</v>
      </c>
    </row>
    <row r="21" spans="1:27" x14ac:dyDescent="0.2">
      <c r="A21">
        <v>57</v>
      </c>
      <c r="B21" t="s">
        <v>35</v>
      </c>
      <c r="C21">
        <v>124.177332461623</v>
      </c>
      <c r="D21">
        <v>1118.7839087757541</v>
      </c>
      <c r="E21" t="s">
        <v>2</v>
      </c>
      <c r="F21" t="s">
        <v>27</v>
      </c>
      <c r="H21">
        <v>57</v>
      </c>
      <c r="I21" t="s">
        <v>35</v>
      </c>
      <c r="J21">
        <v>124.177332461623</v>
      </c>
      <c r="K21">
        <v>1118.783909</v>
      </c>
      <c r="L21" t="s">
        <v>2</v>
      </c>
      <c r="M21" t="s">
        <v>27</v>
      </c>
      <c r="O21">
        <v>57</v>
      </c>
      <c r="P21" t="s">
        <v>35</v>
      </c>
      <c r="Q21">
        <v>124.177332461623</v>
      </c>
      <c r="R21">
        <v>1118.783909</v>
      </c>
      <c r="S21" t="s">
        <v>2</v>
      </c>
      <c r="T21" t="s">
        <v>27</v>
      </c>
      <c r="V21">
        <v>149.62139721383522</v>
      </c>
      <c r="W21">
        <v>131.14653095574957</v>
      </c>
      <c r="X21">
        <v>197.73130680706734</v>
      </c>
      <c r="Y21">
        <v>134.55588983418178</v>
      </c>
      <c r="Z21">
        <v>180.93243109173525</v>
      </c>
      <c r="AA21">
        <v>93.731470024567273</v>
      </c>
    </row>
    <row r="22" spans="1:27" x14ac:dyDescent="0.2">
      <c r="A22">
        <v>60</v>
      </c>
      <c r="B22" t="s">
        <v>35</v>
      </c>
      <c r="C22">
        <v>157.60519872151085</v>
      </c>
      <c r="D22">
        <v>2352.0711498345081</v>
      </c>
      <c r="E22" t="s">
        <v>2</v>
      </c>
      <c r="F22" t="s">
        <v>27</v>
      </c>
      <c r="H22">
        <v>60</v>
      </c>
      <c r="I22" t="s">
        <v>35</v>
      </c>
      <c r="J22">
        <v>157.60519872151085</v>
      </c>
      <c r="K22">
        <v>2352.0711500000002</v>
      </c>
      <c r="L22" t="s">
        <v>2</v>
      </c>
      <c r="M22" t="s">
        <v>27</v>
      </c>
      <c r="O22">
        <v>60</v>
      </c>
      <c r="P22" t="s">
        <v>35</v>
      </c>
      <c r="Q22">
        <v>157.60519872151085</v>
      </c>
      <c r="R22">
        <v>2352.0711500000002</v>
      </c>
      <c r="S22" t="s">
        <v>2</v>
      </c>
      <c r="T22" t="s">
        <v>27</v>
      </c>
      <c r="V22">
        <v>117.78434836212593</v>
      </c>
      <c r="W22">
        <v>138.01500826990002</v>
      </c>
      <c r="X22">
        <v>105.47168550973402</v>
      </c>
      <c r="Y22">
        <v>154.16456457795823</v>
      </c>
      <c r="Z22">
        <v>156.87241741228024</v>
      </c>
      <c r="AA22">
        <v>106.48255794804447</v>
      </c>
    </row>
    <row r="23" spans="1:27" x14ac:dyDescent="0.2">
      <c r="A23">
        <v>63</v>
      </c>
      <c r="B23" t="s">
        <v>35</v>
      </c>
      <c r="C23">
        <v>127.73419492038602</v>
      </c>
      <c r="D23">
        <v>13360.171691969352</v>
      </c>
      <c r="E23" t="s">
        <v>3</v>
      </c>
      <c r="F23" t="s">
        <v>27</v>
      </c>
      <c r="H23">
        <v>63</v>
      </c>
      <c r="I23" t="s">
        <v>35</v>
      </c>
      <c r="J23">
        <v>127.73419492038602</v>
      </c>
      <c r="K23">
        <v>13360.171689999999</v>
      </c>
      <c r="L23" t="s">
        <v>3</v>
      </c>
      <c r="M23" t="s">
        <v>27</v>
      </c>
      <c r="O23">
        <v>63</v>
      </c>
      <c r="P23" t="s">
        <v>35</v>
      </c>
      <c r="Q23">
        <v>127.73419492038602</v>
      </c>
      <c r="R23">
        <v>13360.171689999999</v>
      </c>
      <c r="S23" t="s">
        <v>3</v>
      </c>
      <c r="T23" t="s">
        <v>27</v>
      </c>
      <c r="V23">
        <v>156.10147425527296</v>
      </c>
      <c r="W23">
        <v>121.57490992652302</v>
      </c>
      <c r="X23">
        <v>203.75415827587881</v>
      </c>
      <c r="Y23">
        <v>149.42951190590591</v>
      </c>
      <c r="Z23">
        <v>145.66329108272518</v>
      </c>
      <c r="AA23">
        <v>146.36152815917404</v>
      </c>
    </row>
    <row r="24" spans="1:27" x14ac:dyDescent="0.2">
      <c r="A24">
        <v>64</v>
      </c>
      <c r="B24" t="s">
        <v>29</v>
      </c>
      <c r="C24">
        <v>118.57898606073715</v>
      </c>
      <c r="D24">
        <v>12429.650399596905</v>
      </c>
      <c r="E24" t="s">
        <v>3</v>
      </c>
      <c r="F24" t="s">
        <v>27</v>
      </c>
      <c r="H24">
        <v>64</v>
      </c>
      <c r="I24" t="s">
        <v>29</v>
      </c>
      <c r="J24">
        <v>118.57898606073715</v>
      </c>
      <c r="K24">
        <v>12429.6504</v>
      </c>
      <c r="L24" t="s">
        <v>3</v>
      </c>
      <c r="M24" t="s">
        <v>27</v>
      </c>
      <c r="O24">
        <v>64</v>
      </c>
      <c r="P24" t="s">
        <v>29</v>
      </c>
      <c r="Q24">
        <v>118.57898606073715</v>
      </c>
      <c r="R24">
        <v>12429.6504</v>
      </c>
      <c r="S24" t="s">
        <v>3</v>
      </c>
      <c r="T24" t="s">
        <v>27</v>
      </c>
      <c r="V24">
        <v>131.62065555691433</v>
      </c>
      <c r="W24">
        <v>117.66262281833129</v>
      </c>
      <c r="X24">
        <v>186.77827290836751</v>
      </c>
      <c r="Z24">
        <v>139.21536850238297</v>
      </c>
      <c r="AA24">
        <v>125.56401318314101</v>
      </c>
    </row>
    <row r="25" spans="1:27" x14ac:dyDescent="0.2">
      <c r="A25">
        <v>70</v>
      </c>
      <c r="B25" t="s">
        <v>35</v>
      </c>
      <c r="C25">
        <v>96.668747918213938</v>
      </c>
      <c r="D25">
        <v>15902.390154094328</v>
      </c>
      <c r="E25" t="s">
        <v>3</v>
      </c>
      <c r="F25" t="s">
        <v>27</v>
      </c>
      <c r="H25">
        <v>70</v>
      </c>
      <c r="I25" t="s">
        <v>35</v>
      </c>
      <c r="J25">
        <v>96.668747918213938</v>
      </c>
      <c r="K25">
        <v>15902.390149999999</v>
      </c>
      <c r="L25" t="s">
        <v>3</v>
      </c>
      <c r="M25" t="s">
        <v>27</v>
      </c>
      <c r="O25">
        <v>70</v>
      </c>
      <c r="P25" t="s">
        <v>35</v>
      </c>
      <c r="Q25">
        <v>96.668747918213938</v>
      </c>
      <c r="R25">
        <v>15902.390149999999</v>
      </c>
      <c r="S25" t="s">
        <v>3</v>
      </c>
      <c r="T25" t="s">
        <v>27</v>
      </c>
      <c r="V25" s="10">
        <v>156.19145063535476</v>
      </c>
      <c r="W25">
        <v>149.9775944193558</v>
      </c>
      <c r="X25">
        <v>155.68058476426648</v>
      </c>
      <c r="Z25">
        <v>161.81403376065305</v>
      </c>
      <c r="AA25">
        <v>144.0745136181209</v>
      </c>
    </row>
    <row r="26" spans="1:27" x14ac:dyDescent="0.2">
      <c r="A26">
        <v>71</v>
      </c>
      <c r="B26" t="s">
        <v>35</v>
      </c>
      <c r="C26">
        <v>125.96277382505161</v>
      </c>
      <c r="D26">
        <v>8339.3179557126423</v>
      </c>
      <c r="E26" t="s">
        <v>3</v>
      </c>
      <c r="F26" t="s">
        <v>27</v>
      </c>
      <c r="H26">
        <v>71</v>
      </c>
      <c r="I26" t="s">
        <v>35</v>
      </c>
      <c r="J26">
        <v>125.96277382505161</v>
      </c>
      <c r="K26">
        <v>8339.3179560000008</v>
      </c>
      <c r="L26" t="s">
        <v>3</v>
      </c>
      <c r="M26" t="s">
        <v>27</v>
      </c>
      <c r="O26">
        <v>71</v>
      </c>
      <c r="P26" t="s">
        <v>35</v>
      </c>
      <c r="Q26">
        <v>125.96277382505161</v>
      </c>
      <c r="R26">
        <v>8339.3179560000008</v>
      </c>
      <c r="S26" t="s">
        <v>3</v>
      </c>
      <c r="T26" t="s">
        <v>27</v>
      </c>
      <c r="V26">
        <v>122.30834166358167</v>
      </c>
      <c r="W26">
        <v>125.89575467171464</v>
      </c>
      <c r="X26">
        <v>137.07156901113316</v>
      </c>
      <c r="Z26">
        <v>152.25947838790802</v>
      </c>
      <c r="AA26">
        <v>108.76246972916165</v>
      </c>
    </row>
    <row r="27" spans="1:27" x14ac:dyDescent="0.2">
      <c r="A27">
        <v>72</v>
      </c>
      <c r="B27" t="s">
        <v>25</v>
      </c>
      <c r="C27">
        <v>124.49262621306035</v>
      </c>
      <c r="D27">
        <v>2313.7922680627848</v>
      </c>
      <c r="E27" t="s">
        <v>2</v>
      </c>
      <c r="F27" t="s">
        <v>27</v>
      </c>
      <c r="H27">
        <v>72</v>
      </c>
      <c r="I27" t="s">
        <v>25</v>
      </c>
      <c r="J27">
        <v>124.49262621306035</v>
      </c>
      <c r="K27">
        <v>2313.7922680000001</v>
      </c>
      <c r="L27" t="s">
        <v>2</v>
      </c>
      <c r="M27" t="s">
        <v>27</v>
      </c>
      <c r="O27">
        <v>72</v>
      </c>
      <c r="P27" t="s">
        <v>25</v>
      </c>
      <c r="Q27">
        <v>124.49262621306035</v>
      </c>
      <c r="R27">
        <v>2313.7922680000001</v>
      </c>
      <c r="S27" t="s">
        <v>2</v>
      </c>
      <c r="T27" t="s">
        <v>27</v>
      </c>
      <c r="V27">
        <v>169.38942555129006</v>
      </c>
      <c r="W27">
        <v>158.38216391260653</v>
      </c>
      <c r="X27">
        <v>141.4114762101008</v>
      </c>
      <c r="Z27">
        <v>106.98402371126166</v>
      </c>
      <c r="AA27">
        <v>95.890438067553006</v>
      </c>
    </row>
    <row r="28" spans="1:27" x14ac:dyDescent="0.2">
      <c r="A28">
        <v>74</v>
      </c>
      <c r="B28" t="s">
        <v>25</v>
      </c>
      <c r="C28">
        <v>125.23276552539758</v>
      </c>
      <c r="D28">
        <v>900.26232644626964</v>
      </c>
      <c r="E28" t="s">
        <v>2</v>
      </c>
      <c r="F28" t="s">
        <v>27</v>
      </c>
      <c r="H28">
        <v>74</v>
      </c>
      <c r="I28" t="s">
        <v>25</v>
      </c>
      <c r="J28">
        <v>125.23276552539758</v>
      </c>
      <c r="K28">
        <v>900.26232640000001</v>
      </c>
      <c r="L28" t="s">
        <v>2</v>
      </c>
      <c r="M28" t="s">
        <v>27</v>
      </c>
      <c r="O28">
        <v>74</v>
      </c>
      <c r="P28" t="s">
        <v>25</v>
      </c>
      <c r="Q28">
        <v>125.23276552539758</v>
      </c>
      <c r="R28">
        <v>900.26232640000001</v>
      </c>
      <c r="S28" t="s">
        <v>2</v>
      </c>
      <c r="T28" t="s">
        <v>27</v>
      </c>
      <c r="V28">
        <v>133.91716217084652</v>
      </c>
      <c r="W28">
        <v>206.90846073852978</v>
      </c>
      <c r="X28">
        <v>93.560506138290009</v>
      </c>
      <c r="Z28">
        <v>117.90044198713593</v>
      </c>
      <c r="AA28">
        <v>126.93964465609409</v>
      </c>
    </row>
    <row r="29" spans="1:27" x14ac:dyDescent="0.2">
      <c r="A29">
        <v>80</v>
      </c>
      <c r="B29" t="s">
        <v>35</v>
      </c>
      <c r="C29">
        <v>117.12143582383833</v>
      </c>
      <c r="D29">
        <v>3187.8724896010053</v>
      </c>
      <c r="E29" t="s">
        <v>2</v>
      </c>
      <c r="F29" t="s">
        <v>27</v>
      </c>
      <c r="H29">
        <v>80</v>
      </c>
      <c r="I29" t="s">
        <v>35</v>
      </c>
      <c r="J29">
        <v>117.12143582383833</v>
      </c>
      <c r="K29">
        <v>3187.8724900000002</v>
      </c>
      <c r="L29" t="s">
        <v>2</v>
      </c>
      <c r="M29" t="s">
        <v>27</v>
      </c>
      <c r="O29">
        <v>80</v>
      </c>
      <c r="P29" t="s">
        <v>35</v>
      </c>
      <c r="Q29">
        <v>117.12143582383833</v>
      </c>
      <c r="R29">
        <v>3187.8724900000002</v>
      </c>
      <c r="S29" t="s">
        <v>2</v>
      </c>
      <c r="T29" t="s">
        <v>27</v>
      </c>
      <c r="V29">
        <v>122.28358497033543</v>
      </c>
      <c r="W29">
        <v>173.78959703126228</v>
      </c>
      <c r="X29">
        <v>133.35321435671793</v>
      </c>
      <c r="Z29">
        <v>139.31794930089634</v>
      </c>
    </row>
    <row r="30" spans="1:27" x14ac:dyDescent="0.2">
      <c r="A30">
        <v>84</v>
      </c>
      <c r="B30" t="s">
        <v>35</v>
      </c>
      <c r="C30">
        <v>85.477818579595166</v>
      </c>
      <c r="D30">
        <v>7794.7814620102381</v>
      </c>
      <c r="E30" t="s">
        <v>3</v>
      </c>
      <c r="F30" t="s">
        <v>27</v>
      </c>
      <c r="H30">
        <v>84</v>
      </c>
      <c r="I30" t="s">
        <v>35</v>
      </c>
      <c r="J30">
        <v>85.477818579595166</v>
      </c>
      <c r="K30">
        <v>7794.7814619999999</v>
      </c>
      <c r="L30" t="s">
        <v>3</v>
      </c>
      <c r="M30" t="s">
        <v>27</v>
      </c>
      <c r="O30">
        <v>84</v>
      </c>
      <c r="P30" t="s">
        <v>35</v>
      </c>
      <c r="Q30">
        <v>85.477818579595166</v>
      </c>
      <c r="R30">
        <v>7794.7814619999999</v>
      </c>
      <c r="S30" t="s">
        <v>3</v>
      </c>
      <c r="T30" t="s">
        <v>27</v>
      </c>
      <c r="V30">
        <v>119.81190438106582</v>
      </c>
      <c r="W30">
        <v>220.43499461847173</v>
      </c>
      <c r="Z30">
        <v>167.94496597519384</v>
      </c>
    </row>
    <row r="31" spans="1:27" x14ac:dyDescent="0.2">
      <c r="A31">
        <v>91</v>
      </c>
      <c r="B31" t="s">
        <v>29</v>
      </c>
      <c r="C31">
        <v>183.84221537744807</v>
      </c>
      <c r="D31">
        <v>67113.076308910415</v>
      </c>
      <c r="E31" t="s">
        <v>3</v>
      </c>
      <c r="F31" t="s">
        <v>33</v>
      </c>
      <c r="H31">
        <v>91</v>
      </c>
      <c r="I31" t="s">
        <v>29</v>
      </c>
      <c r="J31">
        <v>183.84221537744807</v>
      </c>
      <c r="K31">
        <v>67113.076310000004</v>
      </c>
      <c r="L31" t="s">
        <v>3</v>
      </c>
      <c r="M31" t="s">
        <v>33</v>
      </c>
      <c r="O31">
        <v>91</v>
      </c>
      <c r="P31" t="s">
        <v>29</v>
      </c>
      <c r="Q31">
        <v>183.84221537744807</v>
      </c>
      <c r="R31">
        <v>67113.076310000004</v>
      </c>
      <c r="S31" t="s">
        <v>3</v>
      </c>
      <c r="T31" t="s">
        <v>33</v>
      </c>
      <c r="V31">
        <v>177.89471342465592</v>
      </c>
      <c r="W31">
        <v>128.24312518436676</v>
      </c>
    </row>
    <row r="32" spans="1:27" x14ac:dyDescent="0.2">
      <c r="A32">
        <v>93</v>
      </c>
      <c r="B32" t="s">
        <v>35</v>
      </c>
      <c r="C32" s="23">
        <v>209.34483576362558</v>
      </c>
      <c r="D32">
        <v>14250.566137660617</v>
      </c>
      <c r="E32" t="s">
        <v>3</v>
      </c>
      <c r="F32" t="s">
        <v>27</v>
      </c>
      <c r="H32">
        <v>93</v>
      </c>
      <c r="I32" t="s">
        <v>35</v>
      </c>
      <c r="J32" s="23">
        <v>209.34483576362558</v>
      </c>
      <c r="K32">
        <v>14250.566140000001</v>
      </c>
      <c r="L32" t="s">
        <v>3</v>
      </c>
      <c r="M32" t="s">
        <v>27</v>
      </c>
      <c r="O32">
        <v>93</v>
      </c>
      <c r="P32" t="s">
        <v>35</v>
      </c>
      <c r="R32">
        <v>14250.566140000001</v>
      </c>
      <c r="S32" t="s">
        <v>3</v>
      </c>
      <c r="T32" t="s">
        <v>27</v>
      </c>
      <c r="V32">
        <v>147.5450114751398</v>
      </c>
      <c r="W32">
        <v>156.46081069896536</v>
      </c>
    </row>
    <row r="33" spans="1:23" x14ac:dyDescent="0.2">
      <c r="A33">
        <v>96</v>
      </c>
      <c r="B33" t="s">
        <v>35</v>
      </c>
      <c r="C33">
        <v>101.97902593453252</v>
      </c>
      <c r="D33">
        <v>3084.2662405814831</v>
      </c>
      <c r="E33" t="s">
        <v>2</v>
      </c>
      <c r="F33" t="s">
        <v>27</v>
      </c>
      <c r="H33">
        <v>96</v>
      </c>
      <c r="I33" t="s">
        <v>35</v>
      </c>
      <c r="J33">
        <v>101.97902593453252</v>
      </c>
      <c r="K33">
        <v>3084.2662409999998</v>
      </c>
      <c r="L33" t="s">
        <v>2</v>
      </c>
      <c r="M33" t="s">
        <v>27</v>
      </c>
      <c r="O33">
        <v>96</v>
      </c>
      <c r="P33" t="s">
        <v>35</v>
      </c>
      <c r="Q33">
        <v>101.97902593453252</v>
      </c>
      <c r="R33">
        <v>3084.2662409999998</v>
      </c>
      <c r="S33" t="s">
        <v>2</v>
      </c>
      <c r="T33" t="s">
        <v>27</v>
      </c>
      <c r="V33">
        <v>151.74980113635786</v>
      </c>
      <c r="W33">
        <v>89.094331699928517</v>
      </c>
    </row>
    <row r="34" spans="1:23" x14ac:dyDescent="0.2">
      <c r="A34">
        <v>99</v>
      </c>
      <c r="B34" t="s">
        <v>29</v>
      </c>
      <c r="C34">
        <v>107.41379933283315</v>
      </c>
      <c r="D34">
        <v>3166.9684745028849</v>
      </c>
      <c r="E34" t="s">
        <v>2</v>
      </c>
      <c r="F34" t="s">
        <v>27</v>
      </c>
      <c r="H34">
        <v>99</v>
      </c>
      <c r="I34" t="s">
        <v>29</v>
      </c>
      <c r="J34">
        <v>107.41379933283315</v>
      </c>
      <c r="K34">
        <v>3166.9684750000001</v>
      </c>
      <c r="L34" t="s">
        <v>2</v>
      </c>
      <c r="M34" t="s">
        <v>27</v>
      </c>
      <c r="O34">
        <v>99</v>
      </c>
      <c r="P34" t="s">
        <v>29</v>
      </c>
      <c r="Q34">
        <v>107.41379933283315</v>
      </c>
      <c r="R34">
        <v>3166.9684750000001</v>
      </c>
      <c r="S34" t="s">
        <v>2</v>
      </c>
      <c r="T34" t="s">
        <v>27</v>
      </c>
      <c r="V34">
        <v>142.2141023271233</v>
      </c>
    </row>
    <row r="35" spans="1:23" x14ac:dyDescent="0.2">
      <c r="A35">
        <v>100</v>
      </c>
      <c r="B35" t="s">
        <v>29</v>
      </c>
      <c r="C35">
        <v>208.74102430792894</v>
      </c>
      <c r="D35">
        <v>16365.537880253478</v>
      </c>
      <c r="E35" t="s">
        <v>3</v>
      </c>
      <c r="F35" t="s">
        <v>27</v>
      </c>
      <c r="H35">
        <v>100</v>
      </c>
      <c r="I35" t="s">
        <v>29</v>
      </c>
      <c r="J35">
        <v>208.74102430792894</v>
      </c>
      <c r="K35">
        <v>16365.53788</v>
      </c>
      <c r="L35" t="s">
        <v>3</v>
      </c>
      <c r="M35" t="s">
        <v>27</v>
      </c>
      <c r="O35">
        <v>100</v>
      </c>
      <c r="P35" t="s">
        <v>29</v>
      </c>
      <c r="Q35">
        <v>208.74102430792894</v>
      </c>
      <c r="R35">
        <v>16365.53788</v>
      </c>
      <c r="S35" t="s">
        <v>3</v>
      </c>
      <c r="T35" t="s">
        <v>27</v>
      </c>
      <c r="V35">
        <v>179.51072983818023</v>
      </c>
    </row>
    <row r="36" spans="1:23" x14ac:dyDescent="0.2">
      <c r="A36">
        <v>101</v>
      </c>
      <c r="B36" t="s">
        <v>35</v>
      </c>
      <c r="C36">
        <v>164.32783413141897</v>
      </c>
      <c r="D36">
        <v>8805.1345863059323</v>
      </c>
      <c r="E36" t="s">
        <v>3</v>
      </c>
      <c r="F36" t="s">
        <v>27</v>
      </c>
      <c r="H36">
        <v>101</v>
      </c>
      <c r="I36" t="s">
        <v>35</v>
      </c>
      <c r="J36">
        <v>164.32783413141897</v>
      </c>
      <c r="K36">
        <v>8805.1345860000001</v>
      </c>
      <c r="L36" t="s">
        <v>3</v>
      </c>
      <c r="M36" t="s">
        <v>27</v>
      </c>
      <c r="O36">
        <v>101</v>
      </c>
      <c r="P36" t="s">
        <v>35</v>
      </c>
      <c r="Q36">
        <v>164.32783413141897</v>
      </c>
      <c r="R36">
        <v>8805.1345860000001</v>
      </c>
      <c r="S36" t="s">
        <v>3</v>
      </c>
      <c r="T36" t="s">
        <v>27</v>
      </c>
      <c r="V36">
        <v>219.54803681484773</v>
      </c>
    </row>
    <row r="37" spans="1:23" x14ac:dyDescent="0.2">
      <c r="A37">
        <v>102</v>
      </c>
      <c r="B37" t="s">
        <v>25</v>
      </c>
      <c r="C37">
        <v>121.52115231059126</v>
      </c>
      <c r="D37">
        <v>26051.563749458812</v>
      </c>
      <c r="E37" t="s">
        <v>3</v>
      </c>
      <c r="F37" t="s">
        <v>33</v>
      </c>
      <c r="H37">
        <v>102</v>
      </c>
      <c r="I37" t="s">
        <v>25</v>
      </c>
      <c r="J37">
        <v>121.52115231059126</v>
      </c>
      <c r="K37">
        <v>26051.563750000001</v>
      </c>
      <c r="L37" t="s">
        <v>3</v>
      </c>
      <c r="M37" t="s">
        <v>33</v>
      </c>
      <c r="O37">
        <v>102</v>
      </c>
      <c r="P37" t="s">
        <v>25</v>
      </c>
      <c r="Q37">
        <v>121.52115231059126</v>
      </c>
      <c r="R37">
        <v>26051.563750000001</v>
      </c>
      <c r="S37" t="s">
        <v>3</v>
      </c>
      <c r="T37" t="s">
        <v>33</v>
      </c>
      <c r="V37">
        <v>194.86358882593339</v>
      </c>
    </row>
    <row r="38" spans="1:23" x14ac:dyDescent="0.2">
      <c r="A38">
        <v>103</v>
      </c>
      <c r="B38" t="s">
        <v>35</v>
      </c>
      <c r="C38">
        <v>138.63901277668953</v>
      </c>
      <c r="D38">
        <v>2275.9309699281694</v>
      </c>
      <c r="E38" t="s">
        <v>2</v>
      </c>
      <c r="F38" t="s">
        <v>27</v>
      </c>
      <c r="H38">
        <v>103</v>
      </c>
      <c r="I38" t="s">
        <v>35</v>
      </c>
      <c r="J38">
        <v>138.63901277668953</v>
      </c>
      <c r="K38">
        <v>2275.9309699999999</v>
      </c>
      <c r="L38" t="s">
        <v>2</v>
      </c>
      <c r="M38" t="s">
        <v>27</v>
      </c>
      <c r="O38">
        <v>103</v>
      </c>
      <c r="P38" t="s">
        <v>35</v>
      </c>
      <c r="Q38">
        <v>138.63901277668953</v>
      </c>
      <c r="R38">
        <v>2275.9309699999999</v>
      </c>
      <c r="S38" t="s">
        <v>2</v>
      </c>
      <c r="T38" t="s">
        <v>27</v>
      </c>
      <c r="V38">
        <v>175.02847262210017</v>
      </c>
    </row>
    <row r="39" spans="1:23" x14ac:dyDescent="0.2">
      <c r="A39">
        <v>105</v>
      </c>
      <c r="B39" t="s">
        <v>29</v>
      </c>
      <c r="C39">
        <v>137.37423357622333</v>
      </c>
      <c r="D39">
        <v>2242.6251952931575</v>
      </c>
      <c r="E39" t="s">
        <v>2</v>
      </c>
      <c r="F39" t="s">
        <v>33</v>
      </c>
      <c r="H39">
        <v>105</v>
      </c>
      <c r="I39" t="s">
        <v>29</v>
      </c>
      <c r="J39">
        <v>137.37423357622333</v>
      </c>
      <c r="K39">
        <v>2242.6251950000001</v>
      </c>
      <c r="L39" t="s">
        <v>2</v>
      </c>
      <c r="M39" t="s">
        <v>33</v>
      </c>
      <c r="O39">
        <v>105</v>
      </c>
      <c r="P39" t="s">
        <v>29</v>
      </c>
      <c r="Q39">
        <v>137.37423357622333</v>
      </c>
      <c r="R39">
        <v>2242.6251950000001</v>
      </c>
      <c r="S39" t="s">
        <v>2</v>
      </c>
      <c r="T39" t="s">
        <v>33</v>
      </c>
      <c r="V39">
        <v>120.38958966314605</v>
      </c>
    </row>
    <row r="40" spans="1:23" x14ac:dyDescent="0.2">
      <c r="A40">
        <v>111</v>
      </c>
      <c r="B40" t="s">
        <v>25</v>
      </c>
      <c r="C40">
        <v>114.32002530257716</v>
      </c>
      <c r="D40">
        <v>620.09128180004541</v>
      </c>
      <c r="E40" t="s">
        <v>2</v>
      </c>
      <c r="F40" t="s">
        <v>33</v>
      </c>
      <c r="H40">
        <v>111</v>
      </c>
      <c r="I40" t="s">
        <v>25</v>
      </c>
      <c r="J40">
        <v>114.32002530257716</v>
      </c>
      <c r="K40">
        <v>620.09128180000005</v>
      </c>
      <c r="L40" t="s">
        <v>2</v>
      </c>
      <c r="M40" t="s">
        <v>33</v>
      </c>
      <c r="O40">
        <v>111</v>
      </c>
      <c r="P40" t="s">
        <v>25</v>
      </c>
      <c r="Q40">
        <v>114.32002530257716</v>
      </c>
      <c r="R40">
        <v>620.09128180000005</v>
      </c>
      <c r="S40" t="s">
        <v>2</v>
      </c>
      <c r="T40" t="s">
        <v>33</v>
      </c>
      <c r="V40">
        <v>125.92225764399993</v>
      </c>
    </row>
    <row r="41" spans="1:23" x14ac:dyDescent="0.2">
      <c r="A41">
        <v>113</v>
      </c>
      <c r="B41" t="s">
        <v>29</v>
      </c>
      <c r="C41">
        <v>140.73781910911103</v>
      </c>
      <c r="D41">
        <v>11213.114621179146</v>
      </c>
      <c r="E41" t="s">
        <v>3</v>
      </c>
      <c r="F41" t="s">
        <v>27</v>
      </c>
      <c r="H41">
        <v>113</v>
      </c>
      <c r="I41" t="s">
        <v>29</v>
      </c>
      <c r="J41">
        <v>140.73781910911103</v>
      </c>
      <c r="K41">
        <v>11213.11462</v>
      </c>
      <c r="L41" t="s">
        <v>3</v>
      </c>
      <c r="M41" t="s">
        <v>27</v>
      </c>
      <c r="O41">
        <v>113</v>
      </c>
      <c r="P41" t="s">
        <v>29</v>
      </c>
      <c r="Q41">
        <v>140.73781910911103</v>
      </c>
      <c r="R41">
        <v>11213.11462</v>
      </c>
      <c r="S41" t="s">
        <v>3</v>
      </c>
      <c r="T41" t="s">
        <v>27</v>
      </c>
      <c r="V41">
        <v>145.30745035415208</v>
      </c>
    </row>
    <row r="42" spans="1:23" x14ac:dyDescent="0.2">
      <c r="A42">
        <v>120</v>
      </c>
      <c r="B42" t="s">
        <v>25</v>
      </c>
      <c r="C42" s="23">
        <v>10.280796480250068</v>
      </c>
      <c r="D42">
        <v>11273.79151709617</v>
      </c>
      <c r="E42" t="s">
        <v>3</v>
      </c>
      <c r="F42" t="s">
        <v>33</v>
      </c>
      <c r="H42">
        <v>120</v>
      </c>
      <c r="I42" t="s">
        <v>25</v>
      </c>
      <c r="K42">
        <v>11273.791520000001</v>
      </c>
      <c r="L42" t="s">
        <v>3</v>
      </c>
      <c r="M42" t="s">
        <v>33</v>
      </c>
      <c r="O42">
        <v>120</v>
      </c>
      <c r="P42" t="s">
        <v>25</v>
      </c>
      <c r="R42">
        <v>11273.791520000001</v>
      </c>
      <c r="S42" t="s">
        <v>3</v>
      </c>
      <c r="T42" t="s">
        <v>33</v>
      </c>
      <c r="V42">
        <v>185.28210309032761</v>
      </c>
    </row>
    <row r="43" spans="1:23" x14ac:dyDescent="0.2">
      <c r="A43">
        <v>121</v>
      </c>
      <c r="B43" t="s">
        <v>25</v>
      </c>
      <c r="C43">
        <v>130.8345692807718</v>
      </c>
      <c r="D43">
        <v>17318.637401092208</v>
      </c>
      <c r="E43" t="s">
        <v>3</v>
      </c>
      <c r="F43" t="s">
        <v>33</v>
      </c>
      <c r="H43">
        <v>121</v>
      </c>
      <c r="I43" t="s">
        <v>25</v>
      </c>
      <c r="J43">
        <v>130.8345692807718</v>
      </c>
      <c r="K43">
        <v>17318.6374</v>
      </c>
      <c r="L43" t="s">
        <v>3</v>
      </c>
      <c r="M43" t="s">
        <v>33</v>
      </c>
      <c r="O43">
        <v>121</v>
      </c>
      <c r="P43" t="s">
        <v>25</v>
      </c>
      <c r="Q43">
        <v>130.8345692807718</v>
      </c>
      <c r="R43">
        <v>17318.6374</v>
      </c>
      <c r="S43" t="s">
        <v>3</v>
      </c>
      <c r="T43" t="s">
        <v>33</v>
      </c>
      <c r="V43">
        <v>176.56112519162514</v>
      </c>
    </row>
    <row r="44" spans="1:23" x14ac:dyDescent="0.2">
      <c r="A44">
        <v>122</v>
      </c>
      <c r="B44" t="s">
        <v>29</v>
      </c>
      <c r="C44">
        <v>122.37674056259128</v>
      </c>
      <c r="D44">
        <v>42891.191447162062</v>
      </c>
      <c r="E44" t="s">
        <v>3</v>
      </c>
      <c r="F44" t="s">
        <v>33</v>
      </c>
      <c r="H44">
        <v>122</v>
      </c>
      <c r="I44" t="s">
        <v>29</v>
      </c>
      <c r="J44">
        <v>122.37674056259128</v>
      </c>
      <c r="K44">
        <v>42891.191449999998</v>
      </c>
      <c r="L44" t="s">
        <v>3</v>
      </c>
      <c r="M44" t="s">
        <v>33</v>
      </c>
      <c r="O44">
        <v>122</v>
      </c>
      <c r="P44" t="s">
        <v>29</v>
      </c>
      <c r="Q44">
        <v>122.37674056259128</v>
      </c>
      <c r="R44">
        <v>42891.191449999998</v>
      </c>
      <c r="S44" t="s">
        <v>3</v>
      </c>
      <c r="T44" t="s">
        <v>33</v>
      </c>
    </row>
    <row r="45" spans="1:23" x14ac:dyDescent="0.2">
      <c r="A45">
        <v>126</v>
      </c>
      <c r="B45" t="s">
        <v>25</v>
      </c>
      <c r="C45">
        <v>141.44065966190294</v>
      </c>
      <c r="D45">
        <v>36751.111716164189</v>
      </c>
      <c r="E45" t="s">
        <v>3</v>
      </c>
      <c r="F45" t="s">
        <v>27</v>
      </c>
      <c r="H45">
        <v>126</v>
      </c>
      <c r="I45" t="s">
        <v>25</v>
      </c>
      <c r="J45">
        <v>141.44065966190294</v>
      </c>
      <c r="K45">
        <v>36751.111720000001</v>
      </c>
      <c r="L45" t="s">
        <v>3</v>
      </c>
      <c r="M45" t="s">
        <v>27</v>
      </c>
      <c r="O45">
        <v>126</v>
      </c>
      <c r="P45" t="s">
        <v>25</v>
      </c>
      <c r="Q45">
        <v>141.44065966190294</v>
      </c>
      <c r="R45">
        <v>36751.111720000001</v>
      </c>
      <c r="S45" t="s">
        <v>3</v>
      </c>
      <c r="T45" t="s">
        <v>27</v>
      </c>
    </row>
    <row r="46" spans="1:23" x14ac:dyDescent="0.2">
      <c r="A46">
        <v>128</v>
      </c>
      <c r="B46" t="s">
        <v>25</v>
      </c>
      <c r="C46" s="23">
        <v>356.82839397736274</v>
      </c>
      <c r="D46">
        <v>2947.9931262901027</v>
      </c>
      <c r="E46" t="s">
        <v>2</v>
      </c>
      <c r="F46" t="s">
        <v>33</v>
      </c>
      <c r="H46">
        <v>128</v>
      </c>
      <c r="I46" t="s">
        <v>25</v>
      </c>
      <c r="K46">
        <v>2947.9931259999998</v>
      </c>
      <c r="L46" t="s">
        <v>2</v>
      </c>
      <c r="M46" t="s">
        <v>33</v>
      </c>
      <c r="O46">
        <v>128</v>
      </c>
      <c r="P46" t="s">
        <v>25</v>
      </c>
      <c r="R46">
        <v>2947.9931259999998</v>
      </c>
      <c r="S46" t="s">
        <v>2</v>
      </c>
      <c r="T46" t="s">
        <v>33</v>
      </c>
    </row>
    <row r="47" spans="1:23" x14ac:dyDescent="0.2">
      <c r="A47">
        <v>130</v>
      </c>
      <c r="B47" t="s">
        <v>25</v>
      </c>
      <c r="C47" s="23">
        <v>249.81430726337632</v>
      </c>
      <c r="D47">
        <v>2213.7505496550416</v>
      </c>
      <c r="E47" t="s">
        <v>2</v>
      </c>
      <c r="F47" t="s">
        <v>33</v>
      </c>
      <c r="H47">
        <v>130</v>
      </c>
      <c r="I47" t="s">
        <v>25</v>
      </c>
      <c r="K47">
        <v>2213.7505500000002</v>
      </c>
      <c r="L47" t="s">
        <v>2</v>
      </c>
      <c r="M47" t="s">
        <v>33</v>
      </c>
      <c r="O47">
        <v>130</v>
      </c>
      <c r="P47" t="s">
        <v>25</v>
      </c>
      <c r="R47">
        <v>2213.7505500000002</v>
      </c>
      <c r="S47" t="s">
        <v>2</v>
      </c>
      <c r="T47" t="s">
        <v>33</v>
      </c>
    </row>
    <row r="48" spans="1:23" x14ac:dyDescent="0.2">
      <c r="A48">
        <v>131</v>
      </c>
      <c r="B48" t="s">
        <v>25</v>
      </c>
      <c r="C48">
        <v>105.48353950835173</v>
      </c>
      <c r="D48">
        <v>2313.7922680627848</v>
      </c>
      <c r="E48" t="s">
        <v>2</v>
      </c>
      <c r="F48" t="s">
        <v>27</v>
      </c>
      <c r="H48">
        <v>131</v>
      </c>
      <c r="I48" t="s">
        <v>25</v>
      </c>
      <c r="J48">
        <v>105.48353950835173</v>
      </c>
      <c r="K48">
        <v>2313.7922680000001</v>
      </c>
      <c r="L48" t="s">
        <v>2</v>
      </c>
      <c r="M48" t="s">
        <v>27</v>
      </c>
      <c r="O48">
        <v>131</v>
      </c>
      <c r="P48" t="s">
        <v>25</v>
      </c>
      <c r="Q48">
        <v>105.48353950835173</v>
      </c>
      <c r="R48">
        <v>2313.7922680000001</v>
      </c>
      <c r="S48" t="s">
        <v>2</v>
      </c>
      <c r="T48" t="s">
        <v>27</v>
      </c>
    </row>
    <row r="49" spans="1:20" x14ac:dyDescent="0.2">
      <c r="A49">
        <v>132</v>
      </c>
      <c r="B49" t="s">
        <v>25</v>
      </c>
      <c r="C49">
        <v>87.445125846829797</v>
      </c>
      <c r="D49">
        <v>3320.6100544728383</v>
      </c>
      <c r="E49" t="s">
        <v>2</v>
      </c>
      <c r="F49" t="s">
        <v>27</v>
      </c>
      <c r="H49">
        <v>132</v>
      </c>
      <c r="I49" t="s">
        <v>25</v>
      </c>
      <c r="J49">
        <v>87.445125846829797</v>
      </c>
      <c r="K49">
        <v>3320.6100540000002</v>
      </c>
      <c r="L49" t="s">
        <v>2</v>
      </c>
      <c r="M49" t="s">
        <v>27</v>
      </c>
      <c r="O49">
        <v>132</v>
      </c>
      <c r="P49" t="s">
        <v>25</v>
      </c>
      <c r="Q49">
        <v>87.445125846829797</v>
      </c>
      <c r="R49">
        <v>3320.6100540000002</v>
      </c>
      <c r="S49" t="s">
        <v>2</v>
      </c>
      <c r="T49" t="s">
        <v>27</v>
      </c>
    </row>
    <row r="50" spans="1:20" x14ac:dyDescent="0.2">
      <c r="A50">
        <v>135</v>
      </c>
      <c r="B50" t="s">
        <v>35</v>
      </c>
      <c r="C50">
        <v>118.64875512591297</v>
      </c>
      <c r="D50">
        <v>34834.287537431745</v>
      </c>
      <c r="E50" t="s">
        <v>3</v>
      </c>
      <c r="F50" t="s">
        <v>27</v>
      </c>
      <c r="H50">
        <v>135</v>
      </c>
      <c r="I50" t="s">
        <v>35</v>
      </c>
      <c r="J50">
        <v>118.64875512591297</v>
      </c>
      <c r="K50">
        <v>34834.287539999998</v>
      </c>
      <c r="L50" t="s">
        <v>3</v>
      </c>
      <c r="M50" t="s">
        <v>27</v>
      </c>
      <c r="O50">
        <v>135</v>
      </c>
      <c r="P50" t="s">
        <v>35</v>
      </c>
      <c r="Q50">
        <v>118.64875512591297</v>
      </c>
      <c r="R50">
        <v>34834.287539999998</v>
      </c>
      <c r="S50" t="s">
        <v>3</v>
      </c>
      <c r="T50" t="s">
        <v>27</v>
      </c>
    </row>
    <row r="51" spans="1:20" x14ac:dyDescent="0.2">
      <c r="A51">
        <v>138</v>
      </c>
      <c r="B51" t="s">
        <v>35</v>
      </c>
      <c r="C51">
        <v>132.29037298001734</v>
      </c>
      <c r="D51">
        <v>11518.688005445649</v>
      </c>
      <c r="E51" t="s">
        <v>3</v>
      </c>
      <c r="F51" t="s">
        <v>27</v>
      </c>
      <c r="H51">
        <v>138</v>
      </c>
      <c r="I51" t="s">
        <v>35</v>
      </c>
      <c r="J51">
        <v>132.29037298001734</v>
      </c>
      <c r="K51">
        <v>11518.68801</v>
      </c>
      <c r="L51" t="s">
        <v>3</v>
      </c>
      <c r="M51" t="s">
        <v>27</v>
      </c>
      <c r="O51">
        <v>138</v>
      </c>
      <c r="P51" t="s">
        <v>35</v>
      </c>
      <c r="Q51">
        <v>132.29037298001734</v>
      </c>
      <c r="R51">
        <v>11518.68801</v>
      </c>
      <c r="S51" t="s">
        <v>3</v>
      </c>
      <c r="T51" t="s">
        <v>27</v>
      </c>
    </row>
    <row r="52" spans="1:20" x14ac:dyDescent="0.2">
      <c r="A52">
        <v>141</v>
      </c>
      <c r="B52" t="s">
        <v>29</v>
      </c>
      <c r="C52">
        <v>131.12209982676288</v>
      </c>
      <c r="D52">
        <v>2554.3250711264609</v>
      </c>
      <c r="E52" t="s">
        <v>2</v>
      </c>
      <c r="F52" t="s">
        <v>33</v>
      </c>
      <c r="H52">
        <v>141</v>
      </c>
      <c r="I52" t="s">
        <v>29</v>
      </c>
      <c r="J52">
        <v>131.12209982676288</v>
      </c>
      <c r="K52">
        <v>2554.3250710000002</v>
      </c>
      <c r="L52" t="s">
        <v>2</v>
      </c>
      <c r="M52" t="s">
        <v>33</v>
      </c>
      <c r="O52">
        <v>141</v>
      </c>
      <c r="P52" t="s">
        <v>29</v>
      </c>
      <c r="Q52">
        <v>131.12209982676288</v>
      </c>
      <c r="R52">
        <v>2554.3250710000002</v>
      </c>
      <c r="S52" t="s">
        <v>2</v>
      </c>
      <c r="T52" t="s">
        <v>33</v>
      </c>
    </row>
    <row r="53" spans="1:20" x14ac:dyDescent="0.2">
      <c r="A53">
        <v>147</v>
      </c>
      <c r="B53" t="s">
        <v>29</v>
      </c>
      <c r="C53">
        <v>111.22112664413842</v>
      </c>
      <c r="D53">
        <v>1511.9192278415653</v>
      </c>
      <c r="E53" t="s">
        <v>2</v>
      </c>
      <c r="F53" t="s">
        <v>33</v>
      </c>
      <c r="H53">
        <v>147</v>
      </c>
      <c r="I53" t="s">
        <v>29</v>
      </c>
      <c r="J53">
        <v>111.22112664413842</v>
      </c>
      <c r="K53">
        <v>1511.919228</v>
      </c>
      <c r="L53" t="s">
        <v>2</v>
      </c>
      <c r="M53" t="s">
        <v>33</v>
      </c>
      <c r="O53">
        <v>147</v>
      </c>
      <c r="P53" t="s">
        <v>29</v>
      </c>
      <c r="Q53">
        <v>111.22112664413842</v>
      </c>
      <c r="R53">
        <v>1511.919228</v>
      </c>
      <c r="S53" t="s">
        <v>2</v>
      </c>
      <c r="T53" t="s">
        <v>33</v>
      </c>
    </row>
    <row r="54" spans="1:20" x14ac:dyDescent="0.2">
      <c r="A54">
        <v>150</v>
      </c>
      <c r="B54" t="s">
        <v>25</v>
      </c>
      <c r="C54">
        <v>98.078476999510642</v>
      </c>
      <c r="D54">
        <v>1400.1256783963138</v>
      </c>
      <c r="E54" t="s">
        <v>2</v>
      </c>
      <c r="F54" t="s">
        <v>33</v>
      </c>
      <c r="H54">
        <v>150</v>
      </c>
      <c r="I54" t="s">
        <v>25</v>
      </c>
      <c r="J54">
        <v>98.078476999510642</v>
      </c>
      <c r="K54">
        <v>1400.1256780000001</v>
      </c>
      <c r="L54" t="s">
        <v>2</v>
      </c>
      <c r="M54" t="s">
        <v>33</v>
      </c>
      <c r="O54">
        <v>150</v>
      </c>
      <c r="P54" t="s">
        <v>25</v>
      </c>
      <c r="Q54">
        <v>98.078476999510642</v>
      </c>
      <c r="R54">
        <v>1400.1256780000001</v>
      </c>
      <c r="S54" t="s">
        <v>2</v>
      </c>
      <c r="T54" t="s">
        <v>33</v>
      </c>
    </row>
    <row r="55" spans="1:20" x14ac:dyDescent="0.2">
      <c r="A55">
        <v>157</v>
      </c>
      <c r="B55" t="s">
        <v>35</v>
      </c>
      <c r="C55">
        <v>131.14413003489005</v>
      </c>
      <c r="D55">
        <v>39014.479362299266</v>
      </c>
      <c r="E55" t="s">
        <v>3</v>
      </c>
      <c r="F55" t="s">
        <v>27</v>
      </c>
      <c r="H55">
        <v>157</v>
      </c>
      <c r="I55" t="s">
        <v>35</v>
      </c>
      <c r="J55">
        <v>131.14413003489005</v>
      </c>
      <c r="K55">
        <v>39014.479359999998</v>
      </c>
      <c r="L55" t="s">
        <v>3</v>
      </c>
      <c r="M55" t="s">
        <v>27</v>
      </c>
      <c r="O55">
        <v>157</v>
      </c>
      <c r="P55" t="s">
        <v>35</v>
      </c>
      <c r="Q55">
        <v>131.14413003489005</v>
      </c>
      <c r="R55">
        <v>39014.479359999998</v>
      </c>
      <c r="S55" t="s">
        <v>3</v>
      </c>
      <c r="T55" t="s">
        <v>27</v>
      </c>
    </row>
    <row r="56" spans="1:20" x14ac:dyDescent="0.2">
      <c r="A56">
        <v>158</v>
      </c>
      <c r="B56" t="s">
        <v>29</v>
      </c>
      <c r="C56">
        <v>124.38420017914186</v>
      </c>
      <c r="D56">
        <v>39685.842035202906</v>
      </c>
      <c r="E56" t="s">
        <v>3</v>
      </c>
      <c r="F56" t="s">
        <v>27</v>
      </c>
      <c r="H56">
        <v>158</v>
      </c>
      <c r="I56" t="s">
        <v>29</v>
      </c>
      <c r="J56">
        <v>124.38420017914186</v>
      </c>
      <c r="K56">
        <v>39685.842040000003</v>
      </c>
      <c r="L56" t="s">
        <v>3</v>
      </c>
      <c r="M56" t="s">
        <v>27</v>
      </c>
      <c r="O56">
        <v>158</v>
      </c>
      <c r="P56" t="s">
        <v>29</v>
      </c>
      <c r="Q56">
        <v>124.38420017914186</v>
      </c>
      <c r="R56">
        <v>39685.842040000003</v>
      </c>
      <c r="S56" t="s">
        <v>3</v>
      </c>
      <c r="T56" t="s">
        <v>27</v>
      </c>
    </row>
    <row r="57" spans="1:20" x14ac:dyDescent="0.2">
      <c r="A57">
        <v>159</v>
      </c>
      <c r="B57" t="s">
        <v>29</v>
      </c>
      <c r="C57" s="23">
        <v>234.23853757303496</v>
      </c>
      <c r="D57">
        <v>4315.7147367816224</v>
      </c>
      <c r="E57" t="s">
        <v>2</v>
      </c>
      <c r="F57" t="s">
        <v>27</v>
      </c>
      <c r="H57">
        <v>159</v>
      </c>
      <c r="I57" t="s">
        <v>29</v>
      </c>
      <c r="K57">
        <v>4315.7147370000002</v>
      </c>
      <c r="L57" t="s">
        <v>2</v>
      </c>
      <c r="M57" t="s">
        <v>27</v>
      </c>
      <c r="O57">
        <v>159</v>
      </c>
      <c r="P57" t="s">
        <v>29</v>
      </c>
      <c r="R57">
        <v>4315.7147370000002</v>
      </c>
      <c r="S57" t="s">
        <v>2</v>
      </c>
      <c r="T57" t="s">
        <v>27</v>
      </c>
    </row>
    <row r="58" spans="1:20" x14ac:dyDescent="0.2">
      <c r="A58">
        <v>164</v>
      </c>
      <c r="B58" t="s">
        <v>29</v>
      </c>
      <c r="C58">
        <v>134.12755637107179</v>
      </c>
      <c r="D58">
        <v>15932.991281348381</v>
      </c>
      <c r="E58" t="s">
        <v>3</v>
      </c>
      <c r="F58" t="s">
        <v>27</v>
      </c>
      <c r="H58">
        <v>164</v>
      </c>
      <c r="I58" t="s">
        <v>29</v>
      </c>
      <c r="J58">
        <v>134.12755637107179</v>
      </c>
      <c r="K58">
        <v>15932.99128</v>
      </c>
      <c r="L58" t="s">
        <v>3</v>
      </c>
      <c r="M58" t="s">
        <v>27</v>
      </c>
      <c r="O58">
        <v>164</v>
      </c>
      <c r="P58" t="s">
        <v>29</v>
      </c>
      <c r="Q58">
        <v>134.12755637107179</v>
      </c>
      <c r="R58">
        <v>15932.99128</v>
      </c>
      <c r="S58" t="s">
        <v>3</v>
      </c>
      <c r="T58" t="s">
        <v>27</v>
      </c>
    </row>
    <row r="59" spans="1:20" x14ac:dyDescent="0.2">
      <c r="A59">
        <v>165</v>
      </c>
      <c r="B59" t="s">
        <v>35</v>
      </c>
      <c r="C59">
        <v>97.45224217028246</v>
      </c>
      <c r="D59">
        <v>817.28323443628221</v>
      </c>
      <c r="E59" t="s">
        <v>2</v>
      </c>
      <c r="F59" t="s">
        <v>27</v>
      </c>
      <c r="H59">
        <v>165</v>
      </c>
      <c r="I59" t="s">
        <v>35</v>
      </c>
      <c r="J59">
        <v>97.45224217028246</v>
      </c>
      <c r="K59">
        <v>817.28323439999997</v>
      </c>
      <c r="L59" t="s">
        <v>2</v>
      </c>
      <c r="M59" t="s">
        <v>27</v>
      </c>
      <c r="O59">
        <v>165</v>
      </c>
      <c r="P59" t="s">
        <v>35</v>
      </c>
      <c r="Q59">
        <v>97.45224217028246</v>
      </c>
      <c r="R59">
        <v>817.28323439999997</v>
      </c>
      <c r="S59" t="s">
        <v>2</v>
      </c>
      <c r="T59" t="s">
        <v>27</v>
      </c>
    </row>
    <row r="60" spans="1:20" x14ac:dyDescent="0.2">
      <c r="A60">
        <v>166</v>
      </c>
      <c r="B60" t="s">
        <v>35</v>
      </c>
      <c r="C60">
        <v>91.193761526707988</v>
      </c>
      <c r="D60">
        <v>3074.0308521290735</v>
      </c>
      <c r="E60" t="s">
        <v>2</v>
      </c>
      <c r="F60" t="s">
        <v>27</v>
      </c>
      <c r="H60">
        <v>166</v>
      </c>
      <c r="I60" t="s">
        <v>35</v>
      </c>
      <c r="J60">
        <v>91.193761526707988</v>
      </c>
      <c r="K60">
        <v>3074.0308519999999</v>
      </c>
      <c r="L60" t="s">
        <v>2</v>
      </c>
      <c r="M60" t="s">
        <v>27</v>
      </c>
      <c r="O60">
        <v>166</v>
      </c>
      <c r="P60" t="s">
        <v>35</v>
      </c>
      <c r="Q60">
        <v>91.193761526707988</v>
      </c>
      <c r="R60">
        <v>3074.0308519999999</v>
      </c>
      <c r="S60" t="s">
        <v>2</v>
      </c>
      <c r="T60" t="s">
        <v>27</v>
      </c>
    </row>
    <row r="61" spans="1:20" x14ac:dyDescent="0.2">
      <c r="A61">
        <v>169</v>
      </c>
      <c r="B61" t="s">
        <v>29</v>
      </c>
      <c r="C61">
        <v>164.15567243963955</v>
      </c>
      <c r="D61">
        <v>2558.845999407763</v>
      </c>
      <c r="E61" t="s">
        <v>2</v>
      </c>
      <c r="F61" t="s">
        <v>27</v>
      </c>
      <c r="H61">
        <v>169</v>
      </c>
      <c r="I61" t="s">
        <v>29</v>
      </c>
      <c r="J61">
        <v>164.15567243963955</v>
      </c>
      <c r="K61">
        <v>2558.8459990000001</v>
      </c>
      <c r="L61" t="s">
        <v>2</v>
      </c>
      <c r="M61" t="s">
        <v>27</v>
      </c>
      <c r="O61">
        <v>169</v>
      </c>
      <c r="P61" t="s">
        <v>29</v>
      </c>
      <c r="Q61">
        <v>164.15567243963955</v>
      </c>
      <c r="R61">
        <v>2558.8459990000001</v>
      </c>
      <c r="S61" t="s">
        <v>2</v>
      </c>
      <c r="T61" t="s">
        <v>27</v>
      </c>
    </row>
    <row r="62" spans="1:20" x14ac:dyDescent="0.2">
      <c r="A62">
        <v>172</v>
      </c>
      <c r="B62" t="s">
        <v>29</v>
      </c>
      <c r="C62">
        <v>105.84342799787042</v>
      </c>
      <c r="D62">
        <v>2943.0245995954801</v>
      </c>
      <c r="E62" t="s">
        <v>2</v>
      </c>
      <c r="F62" t="s">
        <v>33</v>
      </c>
      <c r="H62">
        <v>172</v>
      </c>
      <c r="I62" t="s">
        <v>29</v>
      </c>
      <c r="J62">
        <v>105.84342799787042</v>
      </c>
      <c r="K62">
        <v>2943.0246000000002</v>
      </c>
      <c r="L62" t="s">
        <v>2</v>
      </c>
      <c r="M62" t="s">
        <v>33</v>
      </c>
      <c r="O62">
        <v>172</v>
      </c>
      <c r="P62" t="s">
        <v>29</v>
      </c>
      <c r="Q62">
        <v>105.84342799787042</v>
      </c>
      <c r="R62">
        <v>2943.0246000000002</v>
      </c>
      <c r="S62" t="s">
        <v>2</v>
      </c>
      <c r="T62" t="s">
        <v>33</v>
      </c>
    </row>
    <row r="63" spans="1:20" x14ac:dyDescent="0.2">
      <c r="A63">
        <v>177</v>
      </c>
      <c r="B63" t="s">
        <v>25</v>
      </c>
      <c r="C63">
        <v>159.79638714605164</v>
      </c>
      <c r="D63">
        <v>21258.725231443725</v>
      </c>
      <c r="E63" t="s">
        <v>3</v>
      </c>
      <c r="F63" t="s">
        <v>33</v>
      </c>
      <c r="H63">
        <v>177</v>
      </c>
      <c r="I63" t="s">
        <v>25</v>
      </c>
      <c r="J63">
        <v>159.79638714605164</v>
      </c>
      <c r="K63">
        <v>21258.72523</v>
      </c>
      <c r="L63" t="s">
        <v>3</v>
      </c>
      <c r="M63" t="s">
        <v>33</v>
      </c>
      <c r="O63">
        <v>177</v>
      </c>
      <c r="P63" t="s">
        <v>25</v>
      </c>
      <c r="Q63">
        <v>159.79638714605164</v>
      </c>
      <c r="R63">
        <v>21258.72523</v>
      </c>
      <c r="S63" t="s">
        <v>3</v>
      </c>
      <c r="T63" t="s">
        <v>33</v>
      </c>
    </row>
    <row r="64" spans="1:20" x14ac:dyDescent="0.2">
      <c r="A64">
        <v>181</v>
      </c>
      <c r="B64" t="s">
        <v>29</v>
      </c>
      <c r="C64">
        <v>140.31305883076038</v>
      </c>
      <c r="D64">
        <v>55690.842943003066</v>
      </c>
      <c r="E64" t="s">
        <v>3</v>
      </c>
      <c r="F64" t="s">
        <v>33</v>
      </c>
      <c r="H64">
        <v>181</v>
      </c>
      <c r="I64" t="s">
        <v>29</v>
      </c>
      <c r="J64">
        <v>140.31305883076038</v>
      </c>
      <c r="K64">
        <v>55690.842940000002</v>
      </c>
      <c r="L64" t="s">
        <v>3</v>
      </c>
      <c r="M64" t="s">
        <v>33</v>
      </c>
      <c r="O64">
        <v>181</v>
      </c>
      <c r="P64" t="s">
        <v>29</v>
      </c>
      <c r="Q64">
        <v>140.31305883076038</v>
      </c>
      <c r="R64">
        <v>55690.842940000002</v>
      </c>
      <c r="S64" t="s">
        <v>3</v>
      </c>
      <c r="T64" t="s">
        <v>33</v>
      </c>
    </row>
    <row r="65" spans="1:20" x14ac:dyDescent="0.2">
      <c r="A65">
        <v>183</v>
      </c>
      <c r="B65" t="s">
        <v>25</v>
      </c>
      <c r="C65">
        <v>111.37165529120355</v>
      </c>
      <c r="D65">
        <v>20039.566609576123</v>
      </c>
      <c r="E65" t="s">
        <v>3</v>
      </c>
      <c r="F65" t="s">
        <v>27</v>
      </c>
      <c r="H65">
        <v>183</v>
      </c>
      <c r="I65" t="s">
        <v>25</v>
      </c>
      <c r="J65">
        <v>111.37165529120355</v>
      </c>
      <c r="K65">
        <v>20039.566610000002</v>
      </c>
      <c r="L65" t="s">
        <v>3</v>
      </c>
      <c r="M65" t="s">
        <v>27</v>
      </c>
      <c r="O65">
        <v>183</v>
      </c>
      <c r="P65" t="s">
        <v>25</v>
      </c>
      <c r="Q65">
        <v>111.37165529120355</v>
      </c>
      <c r="R65">
        <v>20039.566610000002</v>
      </c>
      <c r="S65" t="s">
        <v>3</v>
      </c>
      <c r="T65" t="s">
        <v>27</v>
      </c>
    </row>
    <row r="66" spans="1:20" x14ac:dyDescent="0.2">
      <c r="A66">
        <v>185</v>
      </c>
      <c r="B66" t="s">
        <v>25</v>
      </c>
      <c r="C66">
        <v>176.25009966636063</v>
      </c>
      <c r="D66">
        <v>21055.264341146594</v>
      </c>
      <c r="E66" t="s">
        <v>3</v>
      </c>
      <c r="F66" t="s">
        <v>33</v>
      </c>
      <c r="H66">
        <v>185</v>
      </c>
      <c r="I66" t="s">
        <v>25</v>
      </c>
      <c r="J66">
        <v>176.25009966636063</v>
      </c>
      <c r="K66">
        <v>21055.264340000002</v>
      </c>
      <c r="L66" t="s">
        <v>3</v>
      </c>
      <c r="M66" t="s">
        <v>33</v>
      </c>
      <c r="O66">
        <v>185</v>
      </c>
      <c r="P66" t="s">
        <v>25</v>
      </c>
      <c r="Q66">
        <v>176.25009966636063</v>
      </c>
      <c r="R66">
        <v>21055.264340000002</v>
      </c>
      <c r="S66" t="s">
        <v>3</v>
      </c>
      <c r="T66" t="s">
        <v>33</v>
      </c>
    </row>
    <row r="67" spans="1:20" x14ac:dyDescent="0.2">
      <c r="A67">
        <v>186</v>
      </c>
      <c r="B67" t="s">
        <v>25</v>
      </c>
      <c r="C67">
        <v>109.08668716495183</v>
      </c>
      <c r="D67">
        <v>21933.754199522762</v>
      </c>
      <c r="E67" t="s">
        <v>3</v>
      </c>
      <c r="F67" t="s">
        <v>27</v>
      </c>
      <c r="H67">
        <v>186</v>
      </c>
      <c r="I67" t="s">
        <v>25</v>
      </c>
      <c r="J67">
        <v>109.08668716495183</v>
      </c>
      <c r="K67">
        <v>21933.754199999999</v>
      </c>
      <c r="L67" t="s">
        <v>3</v>
      </c>
      <c r="M67" t="s">
        <v>27</v>
      </c>
      <c r="O67">
        <v>186</v>
      </c>
      <c r="P67" t="s">
        <v>25</v>
      </c>
      <c r="Q67">
        <v>109.08668716495183</v>
      </c>
      <c r="R67">
        <v>21933.754199999999</v>
      </c>
      <c r="S67" t="s">
        <v>3</v>
      </c>
      <c r="T67" t="s">
        <v>27</v>
      </c>
    </row>
    <row r="68" spans="1:20" x14ac:dyDescent="0.2">
      <c r="A68">
        <v>189</v>
      </c>
      <c r="B68" t="s">
        <v>35</v>
      </c>
      <c r="C68">
        <v>122.78798598519781</v>
      </c>
      <c r="D68">
        <v>14637.762909892937</v>
      </c>
      <c r="E68" t="s">
        <v>3</v>
      </c>
      <c r="F68" t="s">
        <v>27</v>
      </c>
      <c r="H68">
        <v>189</v>
      </c>
      <c r="I68" t="s">
        <v>35</v>
      </c>
      <c r="J68">
        <v>122.78798598519781</v>
      </c>
      <c r="K68">
        <v>14637.762909999999</v>
      </c>
      <c r="L68" t="s">
        <v>3</v>
      </c>
      <c r="M68" t="s">
        <v>27</v>
      </c>
      <c r="O68">
        <v>189</v>
      </c>
      <c r="P68" t="s">
        <v>35</v>
      </c>
      <c r="Q68">
        <v>122.78798598519781</v>
      </c>
      <c r="R68">
        <v>14637.762909999999</v>
      </c>
      <c r="S68" t="s">
        <v>3</v>
      </c>
      <c r="T68" t="s">
        <v>27</v>
      </c>
    </row>
    <row r="69" spans="1:20" x14ac:dyDescent="0.2">
      <c r="A69">
        <v>190</v>
      </c>
      <c r="B69" t="s">
        <v>29</v>
      </c>
      <c r="C69">
        <v>204.01419104514756</v>
      </c>
      <c r="D69">
        <v>15674.129689516589</v>
      </c>
      <c r="E69" t="s">
        <v>3</v>
      </c>
      <c r="F69" t="s">
        <v>27</v>
      </c>
      <c r="H69">
        <v>190</v>
      </c>
      <c r="I69" t="s">
        <v>29</v>
      </c>
      <c r="J69">
        <v>204.01419104514756</v>
      </c>
      <c r="K69">
        <v>15674.12969</v>
      </c>
      <c r="L69" t="s">
        <v>3</v>
      </c>
      <c r="M69" t="s">
        <v>27</v>
      </c>
      <c r="O69">
        <v>190</v>
      </c>
      <c r="P69" t="s">
        <v>29</v>
      </c>
      <c r="Q69">
        <v>204.01419104514756</v>
      </c>
      <c r="R69">
        <v>15674.12969</v>
      </c>
      <c r="S69" t="s">
        <v>3</v>
      </c>
      <c r="T69" t="s">
        <v>27</v>
      </c>
    </row>
    <row r="70" spans="1:20" x14ac:dyDescent="0.2">
      <c r="A70">
        <v>192</v>
      </c>
      <c r="B70" t="s">
        <v>29</v>
      </c>
      <c r="C70">
        <v>106.40251810931396</v>
      </c>
      <c r="D70">
        <v>130115.49053779407</v>
      </c>
      <c r="E70" t="s">
        <v>3</v>
      </c>
      <c r="F70" t="s">
        <v>33</v>
      </c>
      <c r="H70">
        <v>192</v>
      </c>
      <c r="I70" t="s">
        <v>29</v>
      </c>
      <c r="J70">
        <v>106.40251810931396</v>
      </c>
      <c r="K70">
        <v>130115.4905</v>
      </c>
      <c r="L70" t="s">
        <v>3</v>
      </c>
      <c r="M70" t="s">
        <v>33</v>
      </c>
      <c r="O70">
        <v>192</v>
      </c>
      <c r="P70" t="s">
        <v>29</v>
      </c>
      <c r="Q70">
        <v>106.40251810931396</v>
      </c>
      <c r="R70">
        <v>130115.4905</v>
      </c>
      <c r="S70" t="s">
        <v>3</v>
      </c>
      <c r="T70" t="s">
        <v>33</v>
      </c>
    </row>
    <row r="71" spans="1:20" x14ac:dyDescent="0.2">
      <c r="A71">
        <v>193</v>
      </c>
      <c r="B71" t="s">
        <v>25</v>
      </c>
      <c r="C71">
        <v>113.41924298929997</v>
      </c>
      <c r="D71">
        <v>14987.771152915811</v>
      </c>
      <c r="E71" t="s">
        <v>3</v>
      </c>
      <c r="F71" t="s">
        <v>33</v>
      </c>
      <c r="H71">
        <v>193</v>
      </c>
      <c r="I71" t="s">
        <v>25</v>
      </c>
      <c r="J71">
        <v>113.41924298929997</v>
      </c>
      <c r="K71">
        <v>14987.77115</v>
      </c>
      <c r="L71" t="s">
        <v>3</v>
      </c>
      <c r="M71" t="s">
        <v>33</v>
      </c>
      <c r="O71">
        <v>193</v>
      </c>
      <c r="P71" t="s">
        <v>25</v>
      </c>
      <c r="Q71">
        <v>113.41924298929997</v>
      </c>
      <c r="R71">
        <v>14987.77115</v>
      </c>
      <c r="S71" t="s">
        <v>3</v>
      </c>
      <c r="T71" t="s">
        <v>33</v>
      </c>
    </row>
    <row r="72" spans="1:20" x14ac:dyDescent="0.2">
      <c r="A72">
        <v>194</v>
      </c>
      <c r="B72" t="s">
        <v>29</v>
      </c>
      <c r="C72">
        <v>131.73516885847158</v>
      </c>
      <c r="D72">
        <v>3358.4257513428879</v>
      </c>
      <c r="E72" t="s">
        <v>2</v>
      </c>
      <c r="F72" t="s">
        <v>33</v>
      </c>
      <c r="H72">
        <v>194</v>
      </c>
      <c r="I72" t="s">
        <v>29</v>
      </c>
      <c r="J72">
        <v>131.73516885847158</v>
      </c>
      <c r="K72">
        <v>3358.4257510000002</v>
      </c>
      <c r="L72" t="s">
        <v>2</v>
      </c>
      <c r="M72" t="s">
        <v>33</v>
      </c>
      <c r="O72">
        <v>194</v>
      </c>
      <c r="P72" t="s">
        <v>29</v>
      </c>
      <c r="Q72">
        <v>131.73516885847158</v>
      </c>
      <c r="R72">
        <v>3358.4257510000002</v>
      </c>
      <c r="S72" t="s">
        <v>2</v>
      </c>
      <c r="T72" t="s">
        <v>33</v>
      </c>
    </row>
    <row r="73" spans="1:20" x14ac:dyDescent="0.2">
      <c r="A73">
        <v>195</v>
      </c>
      <c r="B73" t="s">
        <v>29</v>
      </c>
      <c r="C73">
        <v>112.9683280938734</v>
      </c>
      <c r="D73">
        <v>80719.609317541428</v>
      </c>
      <c r="E73" t="s">
        <v>3</v>
      </c>
      <c r="F73" t="s">
        <v>33</v>
      </c>
      <c r="H73">
        <v>195</v>
      </c>
      <c r="I73" t="s">
        <v>29</v>
      </c>
      <c r="J73">
        <v>112.9683280938734</v>
      </c>
      <c r="K73">
        <v>80719.609320000003</v>
      </c>
      <c r="L73" t="s">
        <v>3</v>
      </c>
      <c r="M73" t="s">
        <v>33</v>
      </c>
      <c r="O73">
        <v>195</v>
      </c>
      <c r="P73" t="s">
        <v>29</v>
      </c>
      <c r="Q73">
        <v>112.9683280938734</v>
      </c>
      <c r="R73">
        <v>80719.609320000003</v>
      </c>
      <c r="S73" t="s">
        <v>3</v>
      </c>
      <c r="T73" t="s">
        <v>33</v>
      </c>
    </row>
    <row r="74" spans="1:20" x14ac:dyDescent="0.2">
      <c r="A74">
        <v>199</v>
      </c>
      <c r="B74" t="s">
        <v>29</v>
      </c>
      <c r="C74">
        <v>131.14653095574957</v>
      </c>
      <c r="D74">
        <v>2386.4492380067832</v>
      </c>
      <c r="E74" t="s">
        <v>2</v>
      </c>
      <c r="F74" t="s">
        <v>33</v>
      </c>
      <c r="H74">
        <v>199</v>
      </c>
      <c r="I74" t="s">
        <v>29</v>
      </c>
      <c r="J74">
        <v>131.14653095574957</v>
      </c>
      <c r="K74">
        <v>2386.4492380000002</v>
      </c>
      <c r="L74" t="s">
        <v>2</v>
      </c>
      <c r="M74" t="s">
        <v>33</v>
      </c>
      <c r="O74">
        <v>199</v>
      </c>
      <c r="P74" t="s">
        <v>29</v>
      </c>
      <c r="Q74">
        <v>131.14653095574957</v>
      </c>
      <c r="R74">
        <v>2386.4492380000002</v>
      </c>
      <c r="S74" t="s">
        <v>2</v>
      </c>
      <c r="T74" t="s">
        <v>33</v>
      </c>
    </row>
    <row r="75" spans="1:20" x14ac:dyDescent="0.2">
      <c r="A75">
        <v>201</v>
      </c>
      <c r="B75" t="s">
        <v>29</v>
      </c>
      <c r="C75">
        <v>125.44853194291655</v>
      </c>
      <c r="D75">
        <v>16805.84295637588</v>
      </c>
      <c r="E75" t="s">
        <v>3</v>
      </c>
      <c r="F75" t="s">
        <v>27</v>
      </c>
      <c r="H75">
        <v>201</v>
      </c>
      <c r="I75" t="s">
        <v>29</v>
      </c>
      <c r="J75">
        <v>125.44853194291655</v>
      </c>
      <c r="K75">
        <v>16805.842960000002</v>
      </c>
      <c r="L75" t="s">
        <v>3</v>
      </c>
      <c r="M75" t="s">
        <v>27</v>
      </c>
      <c r="O75">
        <v>201</v>
      </c>
      <c r="P75" t="s">
        <v>29</v>
      </c>
      <c r="Q75">
        <v>125.44853194291655</v>
      </c>
      <c r="R75">
        <v>16805.842960000002</v>
      </c>
      <c r="S75" t="s">
        <v>3</v>
      </c>
      <c r="T75" t="s">
        <v>27</v>
      </c>
    </row>
    <row r="76" spans="1:20" x14ac:dyDescent="0.2">
      <c r="A76">
        <v>202</v>
      </c>
      <c r="B76" t="s">
        <v>35</v>
      </c>
      <c r="C76">
        <v>142.8379526984701</v>
      </c>
      <c r="D76">
        <v>960.15837793844651</v>
      </c>
      <c r="E76" t="s">
        <v>2</v>
      </c>
      <c r="F76" t="s">
        <v>27</v>
      </c>
      <c r="H76">
        <v>202</v>
      </c>
      <c r="I76" t="s">
        <v>35</v>
      </c>
      <c r="J76">
        <v>142.8379526984701</v>
      </c>
      <c r="K76">
        <v>960.1583779</v>
      </c>
      <c r="L76" t="s">
        <v>2</v>
      </c>
      <c r="M76" t="s">
        <v>27</v>
      </c>
      <c r="O76">
        <v>202</v>
      </c>
      <c r="P76" t="s">
        <v>35</v>
      </c>
      <c r="Q76">
        <v>142.8379526984701</v>
      </c>
      <c r="R76">
        <v>960.1583779</v>
      </c>
      <c r="S76" t="s">
        <v>2</v>
      </c>
      <c r="T76" t="s">
        <v>27</v>
      </c>
    </row>
    <row r="77" spans="1:20" x14ac:dyDescent="0.2">
      <c r="A77">
        <v>205</v>
      </c>
      <c r="B77" t="s">
        <v>25</v>
      </c>
      <c r="C77">
        <v>130.79874879760447</v>
      </c>
      <c r="D77">
        <v>2874.0503003785948</v>
      </c>
      <c r="E77" t="s">
        <v>2</v>
      </c>
      <c r="F77" t="s">
        <v>33</v>
      </c>
      <c r="H77">
        <v>205</v>
      </c>
      <c r="I77" t="s">
        <v>25</v>
      </c>
      <c r="J77">
        <v>130.79874879760447</v>
      </c>
      <c r="K77">
        <v>2874.0502999999999</v>
      </c>
      <c r="L77" t="s">
        <v>2</v>
      </c>
      <c r="M77" t="s">
        <v>33</v>
      </c>
      <c r="O77">
        <v>205</v>
      </c>
      <c r="P77" t="s">
        <v>25</v>
      </c>
      <c r="Q77">
        <v>130.79874879760447</v>
      </c>
      <c r="R77">
        <v>2874.0502999999999</v>
      </c>
      <c r="S77" t="s">
        <v>2</v>
      </c>
      <c r="T77" t="s">
        <v>33</v>
      </c>
    </row>
    <row r="78" spans="1:20" x14ac:dyDescent="0.2">
      <c r="A78">
        <v>208</v>
      </c>
      <c r="B78" t="s">
        <v>29</v>
      </c>
      <c r="C78">
        <v>208.98267807088641</v>
      </c>
      <c r="D78">
        <v>42802.36940384144</v>
      </c>
      <c r="E78" t="s">
        <v>3</v>
      </c>
      <c r="F78" t="s">
        <v>33</v>
      </c>
      <c r="H78">
        <v>208</v>
      </c>
      <c r="I78" t="s">
        <v>29</v>
      </c>
      <c r="J78">
        <v>208.98267807088641</v>
      </c>
      <c r="K78">
        <v>42802.369400000003</v>
      </c>
      <c r="L78" t="s">
        <v>3</v>
      </c>
      <c r="M78" t="s">
        <v>33</v>
      </c>
      <c r="O78">
        <v>208</v>
      </c>
      <c r="P78" t="s">
        <v>29</v>
      </c>
      <c r="Q78">
        <v>208.98267807088641</v>
      </c>
      <c r="R78">
        <v>42802.369400000003</v>
      </c>
      <c r="S78" t="s">
        <v>3</v>
      </c>
      <c r="T78" t="s">
        <v>33</v>
      </c>
    </row>
    <row r="79" spans="1:20" x14ac:dyDescent="0.2">
      <c r="A79">
        <v>209</v>
      </c>
      <c r="B79" t="s">
        <v>25</v>
      </c>
      <c r="C79">
        <v>214.77920635942027</v>
      </c>
      <c r="D79">
        <v>12019.069406024275</v>
      </c>
      <c r="E79" t="s">
        <v>3</v>
      </c>
      <c r="F79" t="s">
        <v>33</v>
      </c>
      <c r="H79">
        <v>209</v>
      </c>
      <c r="I79" t="s">
        <v>25</v>
      </c>
      <c r="J79">
        <v>214.77920635942027</v>
      </c>
      <c r="K79">
        <v>12019.06941</v>
      </c>
      <c r="L79" t="s">
        <v>3</v>
      </c>
      <c r="M79" t="s">
        <v>33</v>
      </c>
      <c r="O79">
        <v>209</v>
      </c>
      <c r="P79" t="s">
        <v>25</v>
      </c>
      <c r="Q79">
        <v>214.77920635942027</v>
      </c>
      <c r="R79">
        <v>12019.06941</v>
      </c>
      <c r="S79" t="s">
        <v>3</v>
      </c>
      <c r="T79" t="s">
        <v>33</v>
      </c>
    </row>
    <row r="80" spans="1:20" x14ac:dyDescent="0.2">
      <c r="A80">
        <v>211</v>
      </c>
      <c r="B80" t="s">
        <v>29</v>
      </c>
      <c r="C80">
        <v>128.33037722100261</v>
      </c>
      <c r="D80">
        <v>14565.537236637978</v>
      </c>
      <c r="E80" t="s">
        <v>3</v>
      </c>
      <c r="F80" t="s">
        <v>27</v>
      </c>
      <c r="H80">
        <v>211</v>
      </c>
      <c r="I80" t="s">
        <v>29</v>
      </c>
      <c r="J80">
        <v>128.33037722100261</v>
      </c>
      <c r="K80">
        <v>14565.53724</v>
      </c>
      <c r="L80" t="s">
        <v>3</v>
      </c>
      <c r="M80" t="s">
        <v>27</v>
      </c>
      <c r="O80">
        <v>211</v>
      </c>
      <c r="P80" t="s">
        <v>29</v>
      </c>
      <c r="Q80">
        <v>128.33037722100261</v>
      </c>
      <c r="R80">
        <v>14565.53724</v>
      </c>
      <c r="S80" t="s">
        <v>3</v>
      </c>
      <c r="T80" t="s">
        <v>27</v>
      </c>
    </row>
    <row r="81" spans="1:45" x14ac:dyDescent="0.2">
      <c r="A81">
        <v>212</v>
      </c>
      <c r="B81" t="s">
        <v>25</v>
      </c>
      <c r="C81">
        <v>155.5783636148989</v>
      </c>
      <c r="D81">
        <v>864.67131542713526</v>
      </c>
      <c r="E81" t="s">
        <v>2</v>
      </c>
      <c r="F81" t="s">
        <v>27</v>
      </c>
      <c r="H81">
        <v>212</v>
      </c>
      <c r="I81" t="s">
        <v>25</v>
      </c>
      <c r="J81">
        <v>155.5783636148989</v>
      </c>
      <c r="K81">
        <v>864.67131540000003</v>
      </c>
      <c r="L81" t="s">
        <v>2</v>
      </c>
      <c r="M81" t="s">
        <v>27</v>
      </c>
      <c r="O81">
        <v>212</v>
      </c>
      <c r="P81" t="s">
        <v>25</v>
      </c>
      <c r="Q81">
        <v>155.5783636148989</v>
      </c>
      <c r="R81">
        <v>864.67131540000003</v>
      </c>
      <c r="S81" t="s">
        <v>2</v>
      </c>
      <c r="T81" t="s">
        <v>27</v>
      </c>
    </row>
    <row r="82" spans="1:45" x14ac:dyDescent="0.2">
      <c r="A82">
        <v>213</v>
      </c>
      <c r="B82" t="s">
        <v>29</v>
      </c>
      <c r="C82">
        <v>149.62139721383522</v>
      </c>
      <c r="D82">
        <v>43576.246245326336</v>
      </c>
      <c r="E82" t="s">
        <v>3</v>
      </c>
      <c r="F82" t="s">
        <v>33</v>
      </c>
      <c r="H82">
        <v>213</v>
      </c>
      <c r="I82" t="s">
        <v>29</v>
      </c>
      <c r="J82">
        <v>149.62139721383522</v>
      </c>
      <c r="K82">
        <v>43576.246249999997</v>
      </c>
      <c r="L82" t="s">
        <v>3</v>
      </c>
      <c r="M82" t="s">
        <v>33</v>
      </c>
      <c r="O82">
        <v>213</v>
      </c>
      <c r="P82" t="s">
        <v>29</v>
      </c>
      <c r="Q82">
        <v>149.62139721383522</v>
      </c>
      <c r="R82">
        <v>43576.246249999997</v>
      </c>
      <c r="S82" t="s">
        <v>3</v>
      </c>
      <c r="T82" t="s">
        <v>33</v>
      </c>
    </row>
    <row r="83" spans="1:45" x14ac:dyDescent="0.2">
      <c r="A83">
        <v>216</v>
      </c>
      <c r="B83" t="s">
        <v>35</v>
      </c>
      <c r="C83">
        <v>85.397668837575978</v>
      </c>
      <c r="D83">
        <v>11568.089030513362</v>
      </c>
      <c r="E83" t="s">
        <v>3</v>
      </c>
      <c r="F83" t="s">
        <v>27</v>
      </c>
      <c r="H83">
        <v>216</v>
      </c>
      <c r="I83" t="s">
        <v>35</v>
      </c>
      <c r="J83">
        <v>85.397668837575978</v>
      </c>
      <c r="K83">
        <v>11568.089029999999</v>
      </c>
      <c r="L83" t="s">
        <v>3</v>
      </c>
      <c r="M83" t="s">
        <v>27</v>
      </c>
      <c r="O83">
        <v>216</v>
      </c>
      <c r="P83" t="s">
        <v>35</v>
      </c>
      <c r="Q83">
        <v>85.397668837575978</v>
      </c>
      <c r="R83">
        <v>11568.089029999999</v>
      </c>
      <c r="S83" t="s">
        <v>3</v>
      </c>
      <c r="T83" t="s">
        <v>27</v>
      </c>
    </row>
    <row r="84" spans="1:45" x14ac:dyDescent="0.2">
      <c r="A84">
        <v>217</v>
      </c>
      <c r="B84" t="s">
        <v>25</v>
      </c>
      <c r="C84" s="23">
        <v>414.2070111830875</v>
      </c>
      <c r="D84">
        <v>988.67609728681339</v>
      </c>
      <c r="E84" t="s">
        <v>2</v>
      </c>
      <c r="F84" t="s">
        <v>33</v>
      </c>
      <c r="H84">
        <v>217</v>
      </c>
      <c r="I84" t="s">
        <v>25</v>
      </c>
      <c r="K84">
        <v>988.67609730000004</v>
      </c>
      <c r="L84" t="s">
        <v>2</v>
      </c>
      <c r="M84" t="s">
        <v>33</v>
      </c>
      <c r="O84">
        <v>217</v>
      </c>
      <c r="P84" t="s">
        <v>25</v>
      </c>
      <c r="R84">
        <v>988.67609730000004</v>
      </c>
      <c r="S84" t="s">
        <v>2</v>
      </c>
      <c r="T84" t="s">
        <v>33</v>
      </c>
    </row>
    <row r="85" spans="1:45" x14ac:dyDescent="0.2">
      <c r="A85">
        <v>218</v>
      </c>
      <c r="B85" t="s">
        <v>29</v>
      </c>
      <c r="C85">
        <v>117.78434836212593</v>
      </c>
      <c r="D85">
        <v>49843.248999307776</v>
      </c>
      <c r="E85" t="s">
        <v>3</v>
      </c>
      <c r="F85" t="s">
        <v>33</v>
      </c>
      <c r="H85">
        <v>218</v>
      </c>
      <c r="I85" t="s">
        <v>29</v>
      </c>
      <c r="J85">
        <v>117.78434836212593</v>
      </c>
      <c r="K85">
        <v>49843.249000000003</v>
      </c>
      <c r="L85" t="s">
        <v>3</v>
      </c>
      <c r="M85" t="s">
        <v>33</v>
      </c>
      <c r="O85">
        <v>218</v>
      </c>
      <c r="P85" t="s">
        <v>29</v>
      </c>
      <c r="Q85">
        <v>117.78434836212593</v>
      </c>
      <c r="R85">
        <v>49843.249000000003</v>
      </c>
      <c r="S85" t="s">
        <v>3</v>
      </c>
      <c r="T85" t="s">
        <v>33</v>
      </c>
    </row>
    <row r="86" spans="1:45" x14ac:dyDescent="0.2">
      <c r="A86">
        <v>219</v>
      </c>
      <c r="B86" t="s">
        <v>29</v>
      </c>
      <c r="C86">
        <v>138.01500826990002</v>
      </c>
      <c r="D86">
        <v>1087.8039850346918</v>
      </c>
      <c r="E86" t="s">
        <v>2</v>
      </c>
      <c r="F86" t="s">
        <v>33</v>
      </c>
      <c r="H86">
        <v>219</v>
      </c>
      <c r="I86" t="s">
        <v>29</v>
      </c>
      <c r="J86">
        <v>138.01500826990002</v>
      </c>
      <c r="K86">
        <v>1087.803985</v>
      </c>
      <c r="L86" t="s">
        <v>2</v>
      </c>
      <c r="M86" t="s">
        <v>33</v>
      </c>
      <c r="O86">
        <v>219</v>
      </c>
      <c r="P86" t="s">
        <v>29</v>
      </c>
      <c r="Q86">
        <v>138.01500826990002</v>
      </c>
      <c r="R86">
        <v>1087.803985</v>
      </c>
      <c r="S86" t="s">
        <v>2</v>
      </c>
      <c r="T86" t="s">
        <v>33</v>
      </c>
    </row>
    <row r="87" spans="1:45" x14ac:dyDescent="0.2">
      <c r="A87">
        <v>220</v>
      </c>
      <c r="B87" t="s">
        <v>25</v>
      </c>
      <c r="C87">
        <v>122.1407651913046</v>
      </c>
      <c r="D87">
        <v>813.06319166777791</v>
      </c>
      <c r="E87" t="s">
        <v>2</v>
      </c>
      <c r="F87" t="s">
        <v>27</v>
      </c>
      <c r="H87">
        <v>220</v>
      </c>
      <c r="I87" t="s">
        <v>25</v>
      </c>
      <c r="J87">
        <v>122.1407651913046</v>
      </c>
      <c r="K87">
        <v>813.06319169999995</v>
      </c>
      <c r="L87" t="s">
        <v>2</v>
      </c>
      <c r="M87" t="s">
        <v>27</v>
      </c>
      <c r="O87">
        <v>220</v>
      </c>
      <c r="P87" t="s">
        <v>25</v>
      </c>
      <c r="Q87">
        <v>122.1407651913046</v>
      </c>
      <c r="R87">
        <v>813.06319169999995</v>
      </c>
      <c r="S87" t="s">
        <v>2</v>
      </c>
      <c r="T87" t="s">
        <v>27</v>
      </c>
    </row>
    <row r="88" spans="1:45" x14ac:dyDescent="0.2">
      <c r="A88">
        <v>224</v>
      </c>
      <c r="B88" t="s">
        <v>25</v>
      </c>
      <c r="C88">
        <v>152.55587029579965</v>
      </c>
      <c r="D88">
        <v>1919.781239993162</v>
      </c>
      <c r="E88" t="s">
        <v>2</v>
      </c>
      <c r="F88" t="s">
        <v>27</v>
      </c>
      <c r="H88">
        <v>224</v>
      </c>
      <c r="I88" t="s">
        <v>25</v>
      </c>
      <c r="J88">
        <v>152.55587029579965</v>
      </c>
      <c r="K88">
        <v>1919.78124</v>
      </c>
      <c r="L88" t="s">
        <v>2</v>
      </c>
      <c r="M88" t="s">
        <v>27</v>
      </c>
      <c r="O88">
        <v>224</v>
      </c>
      <c r="P88" t="s">
        <v>25</v>
      </c>
      <c r="Q88">
        <v>152.55587029579965</v>
      </c>
      <c r="R88">
        <v>1919.78124</v>
      </c>
      <c r="S88" t="s">
        <v>2</v>
      </c>
      <c r="T88" t="s">
        <v>27</v>
      </c>
    </row>
    <row r="89" spans="1:45" x14ac:dyDescent="0.2">
      <c r="A89">
        <v>225</v>
      </c>
      <c r="B89" t="s">
        <v>29</v>
      </c>
      <c r="C89">
        <v>156.10147425527296</v>
      </c>
      <c r="D89">
        <v>38103.780065537183</v>
      </c>
      <c r="E89" t="s">
        <v>3</v>
      </c>
      <c r="F89" t="s">
        <v>33</v>
      </c>
      <c r="H89">
        <v>225</v>
      </c>
      <c r="I89" t="s">
        <v>29</v>
      </c>
      <c r="J89">
        <v>156.10147425527296</v>
      </c>
      <c r="K89">
        <v>38103.780070000001</v>
      </c>
      <c r="L89" t="s">
        <v>3</v>
      </c>
      <c r="M89" t="s">
        <v>33</v>
      </c>
      <c r="O89">
        <v>225</v>
      </c>
      <c r="P89" t="s">
        <v>29</v>
      </c>
      <c r="Q89">
        <v>156.10147425527296</v>
      </c>
      <c r="R89">
        <v>38103.780070000001</v>
      </c>
      <c r="S89" t="s">
        <v>3</v>
      </c>
      <c r="T89" t="s">
        <v>33</v>
      </c>
    </row>
    <row r="90" spans="1:45" x14ac:dyDescent="0.2">
      <c r="A90">
        <v>229</v>
      </c>
      <c r="B90" t="s">
        <v>29</v>
      </c>
      <c r="C90">
        <v>121.57490992652302</v>
      </c>
      <c r="D90">
        <v>2301.1255502666809</v>
      </c>
      <c r="E90" t="s">
        <v>2</v>
      </c>
      <c r="F90" t="s">
        <v>27</v>
      </c>
      <c r="H90">
        <v>229</v>
      </c>
      <c r="I90" t="s">
        <v>29</v>
      </c>
      <c r="J90">
        <v>121.57490992652302</v>
      </c>
      <c r="K90">
        <v>2301.1255500000002</v>
      </c>
      <c r="L90" t="s">
        <v>2</v>
      </c>
      <c r="M90" t="s">
        <v>27</v>
      </c>
      <c r="O90">
        <v>229</v>
      </c>
      <c r="P90" t="s">
        <v>29</v>
      </c>
      <c r="Q90">
        <v>121.57490992652302</v>
      </c>
      <c r="R90">
        <v>2301.1255500000002</v>
      </c>
      <c r="S90" t="s">
        <v>2</v>
      </c>
      <c r="T90" t="s">
        <v>27</v>
      </c>
      <c r="AD90" t="s">
        <v>289</v>
      </c>
    </row>
    <row r="91" spans="1:45" x14ac:dyDescent="0.2">
      <c r="A91">
        <v>230</v>
      </c>
      <c r="B91" t="s">
        <v>29</v>
      </c>
      <c r="C91">
        <v>131.62065555691433</v>
      </c>
      <c r="D91">
        <v>41891.71155830002</v>
      </c>
      <c r="E91" t="s">
        <v>3</v>
      </c>
      <c r="F91" t="s">
        <v>33</v>
      </c>
      <c r="H91">
        <v>230</v>
      </c>
      <c r="I91" t="s">
        <v>29</v>
      </c>
      <c r="J91">
        <v>131.62065555691433</v>
      </c>
      <c r="K91">
        <v>41891.711560000003</v>
      </c>
      <c r="L91" t="s">
        <v>3</v>
      </c>
      <c r="M91" t="s">
        <v>33</v>
      </c>
      <c r="O91">
        <v>230</v>
      </c>
      <c r="P91" t="s">
        <v>29</v>
      </c>
      <c r="Q91">
        <v>131.62065555691433</v>
      </c>
      <c r="R91">
        <v>41891.711560000003</v>
      </c>
      <c r="S91" t="s">
        <v>3</v>
      </c>
      <c r="T91" t="s">
        <v>33</v>
      </c>
    </row>
    <row r="92" spans="1:45" x14ac:dyDescent="0.2">
      <c r="A92">
        <v>233</v>
      </c>
      <c r="B92" t="s">
        <v>35</v>
      </c>
      <c r="C92">
        <v>113.42654924640642</v>
      </c>
      <c r="D92">
        <v>13265.097971421466</v>
      </c>
      <c r="E92" t="s">
        <v>3</v>
      </c>
      <c r="F92" t="s">
        <v>27</v>
      </c>
      <c r="H92">
        <v>233</v>
      </c>
      <c r="I92" t="s">
        <v>35</v>
      </c>
      <c r="J92">
        <v>113.42654924640642</v>
      </c>
      <c r="K92">
        <v>13265.097970000001</v>
      </c>
      <c r="L92" t="s">
        <v>3</v>
      </c>
      <c r="M92" t="s">
        <v>27</v>
      </c>
      <c r="O92">
        <v>233</v>
      </c>
      <c r="P92" t="s">
        <v>35</v>
      </c>
      <c r="Q92">
        <v>113.42654924640642</v>
      </c>
      <c r="R92">
        <v>13265.097970000001</v>
      </c>
      <c r="S92" t="s">
        <v>3</v>
      </c>
      <c r="T92" t="s">
        <v>27</v>
      </c>
      <c r="W92" t="s">
        <v>89</v>
      </c>
      <c r="AD92" t="s">
        <v>106</v>
      </c>
    </row>
    <row r="93" spans="1:45" x14ac:dyDescent="0.2">
      <c r="A93" s="10">
        <v>234</v>
      </c>
      <c r="B93" s="10" t="s">
        <v>29</v>
      </c>
      <c r="C93" s="10">
        <v>156.19145063535476</v>
      </c>
      <c r="D93" s="10">
        <v>42477.737790691754</v>
      </c>
      <c r="E93" s="10" t="s">
        <v>3</v>
      </c>
      <c r="F93" s="10" t="s">
        <v>33</v>
      </c>
      <c r="H93">
        <v>234</v>
      </c>
      <c r="I93" t="s">
        <v>29</v>
      </c>
      <c r="J93" s="10">
        <v>156.19145063535476</v>
      </c>
      <c r="K93">
        <v>42477.737789999999</v>
      </c>
      <c r="L93" t="s">
        <v>3</v>
      </c>
      <c r="M93" s="10" t="s">
        <v>33</v>
      </c>
      <c r="O93">
        <v>234</v>
      </c>
      <c r="P93" t="s">
        <v>29</v>
      </c>
      <c r="Q93" s="10">
        <v>156.19145063535476</v>
      </c>
      <c r="R93">
        <v>42477.737789999999</v>
      </c>
      <c r="S93" t="s">
        <v>3</v>
      </c>
      <c r="T93" s="10" t="s">
        <v>33</v>
      </c>
    </row>
    <row r="94" spans="1:45" x14ac:dyDescent="0.2">
      <c r="A94">
        <v>235</v>
      </c>
      <c r="B94" t="s">
        <v>35</v>
      </c>
      <c r="C94">
        <v>182.76386496070828</v>
      </c>
      <c r="D94">
        <v>11704.669717197508</v>
      </c>
      <c r="E94" t="s">
        <v>3</v>
      </c>
      <c r="F94" t="s">
        <v>27</v>
      </c>
      <c r="H94">
        <v>235</v>
      </c>
      <c r="I94" t="s">
        <v>35</v>
      </c>
      <c r="J94">
        <v>182.76386496070828</v>
      </c>
      <c r="K94">
        <v>11704.66972</v>
      </c>
      <c r="L94" t="s">
        <v>3</v>
      </c>
      <c r="M94" t="s">
        <v>27</v>
      </c>
      <c r="O94">
        <v>235</v>
      </c>
      <c r="P94" t="s">
        <v>35</v>
      </c>
      <c r="Q94">
        <v>182.76386496070828</v>
      </c>
      <c r="R94">
        <v>11704.66972</v>
      </c>
      <c r="S94" t="s">
        <v>3</v>
      </c>
      <c r="T94" t="s">
        <v>27</v>
      </c>
      <c r="AD94" t="s">
        <v>107</v>
      </c>
      <c r="AN94" t="s">
        <v>193</v>
      </c>
    </row>
    <row r="95" spans="1:45" x14ac:dyDescent="0.2">
      <c r="A95">
        <v>236</v>
      </c>
      <c r="B95" t="s">
        <v>35</v>
      </c>
      <c r="C95">
        <v>140.06975109383649</v>
      </c>
      <c r="D95">
        <v>40564.359245331922</v>
      </c>
      <c r="E95" t="s">
        <v>3</v>
      </c>
      <c r="F95" t="s">
        <v>27</v>
      </c>
      <c r="H95">
        <v>236</v>
      </c>
      <c r="I95" t="s">
        <v>35</v>
      </c>
      <c r="J95">
        <v>140.06975109383649</v>
      </c>
      <c r="K95">
        <v>40564.359250000001</v>
      </c>
      <c r="L95" t="s">
        <v>3</v>
      </c>
      <c r="M95" t="s">
        <v>27</v>
      </c>
      <c r="O95">
        <v>236</v>
      </c>
      <c r="P95" t="s">
        <v>35</v>
      </c>
      <c r="Q95">
        <v>140.06975109383649</v>
      </c>
      <c r="R95">
        <v>40564.359250000001</v>
      </c>
      <c r="S95" t="s">
        <v>3</v>
      </c>
      <c r="T95" t="s">
        <v>27</v>
      </c>
      <c r="W95" t="s">
        <v>57</v>
      </c>
      <c r="AD95">
        <v>2</v>
      </c>
    </row>
    <row r="96" spans="1:45" x14ac:dyDescent="0.2">
      <c r="A96">
        <v>244</v>
      </c>
      <c r="B96" t="s">
        <v>29</v>
      </c>
      <c r="C96">
        <v>122.30834166358167</v>
      </c>
      <c r="D96">
        <v>40735.878508068461</v>
      </c>
      <c r="E96" t="s">
        <v>3</v>
      </c>
      <c r="F96" t="s">
        <v>33</v>
      </c>
      <c r="H96">
        <v>244</v>
      </c>
      <c r="I96" t="s">
        <v>29</v>
      </c>
      <c r="J96">
        <v>122.30834166358167</v>
      </c>
      <c r="K96">
        <v>40735.878510000002</v>
      </c>
      <c r="L96" t="s">
        <v>3</v>
      </c>
      <c r="M96" t="s">
        <v>33</v>
      </c>
      <c r="O96">
        <v>244</v>
      </c>
      <c r="P96" t="s">
        <v>29</v>
      </c>
      <c r="Q96">
        <v>122.30834166358167</v>
      </c>
      <c r="R96">
        <v>40735.878510000002</v>
      </c>
      <c r="S96" t="s">
        <v>3</v>
      </c>
      <c r="T96" t="s">
        <v>33</v>
      </c>
      <c r="AN96" t="s">
        <v>158</v>
      </c>
      <c r="AO96" t="s">
        <v>82</v>
      </c>
      <c r="AP96" t="s">
        <v>194</v>
      </c>
      <c r="AQ96" t="s">
        <v>195</v>
      </c>
      <c r="AR96" t="s">
        <v>196</v>
      </c>
      <c r="AS96" t="s">
        <v>197</v>
      </c>
    </row>
    <row r="97" spans="1:45" x14ac:dyDescent="0.2">
      <c r="A97">
        <v>245</v>
      </c>
      <c r="B97" t="s">
        <v>25</v>
      </c>
      <c r="C97">
        <v>116.29144056056217</v>
      </c>
      <c r="D97">
        <v>17399.691735101911</v>
      </c>
      <c r="E97" t="s">
        <v>3</v>
      </c>
      <c r="F97" t="s">
        <v>27</v>
      </c>
      <c r="H97">
        <v>245</v>
      </c>
      <c r="I97" t="s">
        <v>25</v>
      </c>
      <c r="J97">
        <v>116.29144056056217</v>
      </c>
      <c r="K97">
        <v>17399.691739999998</v>
      </c>
      <c r="L97" t="s">
        <v>3</v>
      </c>
      <c r="M97" t="s">
        <v>27</v>
      </c>
      <c r="O97">
        <v>245</v>
      </c>
      <c r="P97" t="s">
        <v>25</v>
      </c>
      <c r="Q97">
        <v>116.29144056056217</v>
      </c>
      <c r="R97">
        <v>17399.691739999998</v>
      </c>
      <c r="S97" t="s">
        <v>3</v>
      </c>
      <c r="T97" t="s">
        <v>27</v>
      </c>
      <c r="W97" t="s">
        <v>268</v>
      </c>
      <c r="AN97" t="s">
        <v>29</v>
      </c>
      <c r="AO97">
        <v>68</v>
      </c>
      <c r="AP97">
        <v>6371</v>
      </c>
      <c r="AQ97">
        <v>5542</v>
      </c>
      <c r="AR97">
        <v>93.691199999999995</v>
      </c>
      <c r="AS97">
        <v>2.8119999999999998</v>
      </c>
    </row>
    <row r="98" spans="1:45" x14ac:dyDescent="0.2">
      <c r="A98">
        <v>248</v>
      </c>
      <c r="B98" t="s">
        <v>29</v>
      </c>
      <c r="C98">
        <v>169.38942555129006</v>
      </c>
      <c r="D98">
        <v>82173.436325183065</v>
      </c>
      <c r="E98" t="s">
        <v>3</v>
      </c>
      <c r="F98" t="s">
        <v>33</v>
      </c>
      <c r="H98">
        <v>248</v>
      </c>
      <c r="I98" t="s">
        <v>29</v>
      </c>
      <c r="J98">
        <v>169.38942555129006</v>
      </c>
      <c r="K98">
        <v>82173.436329999997</v>
      </c>
      <c r="L98" t="s">
        <v>3</v>
      </c>
      <c r="M98" t="s">
        <v>33</v>
      </c>
      <c r="O98">
        <v>248</v>
      </c>
      <c r="P98" t="s">
        <v>29</v>
      </c>
      <c r="Q98">
        <v>169.38942555129006</v>
      </c>
      <c r="R98">
        <v>82173.436329999997</v>
      </c>
      <c r="S98" t="s">
        <v>3</v>
      </c>
      <c r="T98" t="s">
        <v>33</v>
      </c>
      <c r="AD98" t="s">
        <v>193</v>
      </c>
      <c r="AN98" t="s">
        <v>25</v>
      </c>
      <c r="AO98">
        <v>44</v>
      </c>
      <c r="AP98">
        <v>3388</v>
      </c>
      <c r="AQ98">
        <v>3586</v>
      </c>
      <c r="AR98">
        <v>77</v>
      </c>
      <c r="AS98">
        <v>-0.74399999999999999</v>
      </c>
    </row>
    <row r="99" spans="1:45" x14ac:dyDescent="0.2">
      <c r="A99">
        <v>251</v>
      </c>
      <c r="B99" t="s">
        <v>29</v>
      </c>
      <c r="C99">
        <v>117.66262281833129</v>
      </c>
      <c r="D99">
        <v>727.76506811429533</v>
      </c>
      <c r="E99" t="s">
        <v>2</v>
      </c>
      <c r="F99" t="s">
        <v>33</v>
      </c>
      <c r="H99">
        <v>251</v>
      </c>
      <c r="I99" t="s">
        <v>29</v>
      </c>
      <c r="J99">
        <v>117.66262281833129</v>
      </c>
      <c r="K99">
        <v>727.76506810000001</v>
      </c>
      <c r="L99" t="s">
        <v>2</v>
      </c>
      <c r="M99" t="s">
        <v>33</v>
      </c>
      <c r="O99">
        <v>251</v>
      </c>
      <c r="P99" t="s">
        <v>29</v>
      </c>
      <c r="Q99">
        <v>117.66262281833129</v>
      </c>
      <c r="R99">
        <v>727.76506810000001</v>
      </c>
      <c r="S99" t="s">
        <v>2</v>
      </c>
      <c r="T99" t="s">
        <v>33</v>
      </c>
      <c r="AN99" t="s">
        <v>35</v>
      </c>
      <c r="AO99">
        <v>50</v>
      </c>
      <c r="AP99">
        <v>3444</v>
      </c>
      <c r="AQ99">
        <v>4075</v>
      </c>
      <c r="AR99">
        <v>68.88</v>
      </c>
      <c r="AS99">
        <v>-2.286</v>
      </c>
    </row>
    <row r="100" spans="1:45" x14ac:dyDescent="0.2">
      <c r="A100">
        <v>252</v>
      </c>
      <c r="B100" t="s">
        <v>35</v>
      </c>
      <c r="C100">
        <v>105.36344796894694</v>
      </c>
      <c r="D100">
        <v>228.94119744029166</v>
      </c>
      <c r="E100" t="s">
        <v>2</v>
      </c>
      <c r="F100" t="s">
        <v>27</v>
      </c>
      <c r="H100">
        <v>252</v>
      </c>
      <c r="I100" t="s">
        <v>35</v>
      </c>
      <c r="J100">
        <v>105.36344796894694</v>
      </c>
      <c r="K100">
        <v>228.94119739999999</v>
      </c>
      <c r="L100" t="s">
        <v>2</v>
      </c>
      <c r="M100" t="s">
        <v>27</v>
      </c>
      <c r="O100">
        <v>252</v>
      </c>
      <c r="P100" t="s">
        <v>35</v>
      </c>
      <c r="Q100">
        <v>105.36344796894694</v>
      </c>
      <c r="R100">
        <v>228.94119739999999</v>
      </c>
      <c r="S100" t="s">
        <v>2</v>
      </c>
      <c r="T100" t="s">
        <v>27</v>
      </c>
      <c r="AD100" t="s">
        <v>158</v>
      </c>
      <c r="AE100" t="s">
        <v>82</v>
      </c>
      <c r="AF100" t="s">
        <v>194</v>
      </c>
      <c r="AG100" t="s">
        <v>195</v>
      </c>
      <c r="AH100" t="s">
        <v>196</v>
      </c>
      <c r="AI100" t="s">
        <v>197</v>
      </c>
    </row>
    <row r="101" spans="1:45" x14ac:dyDescent="0.2">
      <c r="A101">
        <v>253</v>
      </c>
      <c r="B101" t="s">
        <v>35</v>
      </c>
      <c r="C101">
        <v>112.00320320612495</v>
      </c>
      <c r="D101">
        <v>2923.20631891844</v>
      </c>
      <c r="E101" t="s">
        <v>2</v>
      </c>
      <c r="F101" t="s">
        <v>27</v>
      </c>
      <c r="H101">
        <v>253</v>
      </c>
      <c r="I101" t="s">
        <v>35</v>
      </c>
      <c r="J101">
        <v>112.00320320612495</v>
      </c>
      <c r="K101">
        <v>2923.2063189999999</v>
      </c>
      <c r="L101" t="s">
        <v>2</v>
      </c>
      <c r="M101" t="s">
        <v>27</v>
      </c>
      <c r="O101">
        <v>253</v>
      </c>
      <c r="P101" t="s">
        <v>35</v>
      </c>
      <c r="Q101">
        <v>112.00320320612495</v>
      </c>
      <c r="R101">
        <v>2923.2063189999999</v>
      </c>
      <c r="S101" t="s">
        <v>2</v>
      </c>
      <c r="T101" t="s">
        <v>27</v>
      </c>
      <c r="AD101" t="s">
        <v>2</v>
      </c>
      <c r="AE101">
        <v>29</v>
      </c>
      <c r="AF101">
        <v>911</v>
      </c>
      <c r="AG101">
        <v>1000.5</v>
      </c>
      <c r="AH101">
        <v>31.413799999999998</v>
      </c>
      <c r="AI101">
        <v>-1.1040000000000001</v>
      </c>
    </row>
    <row r="102" spans="1:45" x14ac:dyDescent="0.2">
      <c r="A102">
        <v>261</v>
      </c>
      <c r="B102" t="s">
        <v>25</v>
      </c>
      <c r="C102">
        <v>111.28406582071685</v>
      </c>
      <c r="D102">
        <v>909.31012166618837</v>
      </c>
      <c r="E102" t="s">
        <v>2</v>
      </c>
      <c r="F102" t="s">
        <v>27</v>
      </c>
      <c r="H102">
        <v>261</v>
      </c>
      <c r="I102" t="s">
        <v>25</v>
      </c>
      <c r="J102">
        <v>111.28406582071685</v>
      </c>
      <c r="K102">
        <v>909.31012169999997</v>
      </c>
      <c r="L102" t="s">
        <v>2</v>
      </c>
      <c r="M102" t="s">
        <v>27</v>
      </c>
      <c r="O102">
        <v>261</v>
      </c>
      <c r="P102" t="s">
        <v>25</v>
      </c>
      <c r="Q102">
        <v>111.28406582071685</v>
      </c>
      <c r="R102">
        <v>909.31012169999997</v>
      </c>
      <c r="S102" t="s">
        <v>2</v>
      </c>
      <c r="T102" t="s">
        <v>27</v>
      </c>
      <c r="W102" t="s">
        <v>90</v>
      </c>
      <c r="AD102" t="s">
        <v>3</v>
      </c>
      <c r="AE102">
        <v>39</v>
      </c>
      <c r="AF102">
        <v>1435</v>
      </c>
      <c r="AG102">
        <v>1345.5</v>
      </c>
      <c r="AH102">
        <v>36.794899999999998</v>
      </c>
      <c r="AI102">
        <v>1.1040000000000001</v>
      </c>
    </row>
    <row r="103" spans="1:45" x14ac:dyDescent="0.2">
      <c r="A103">
        <v>262</v>
      </c>
      <c r="B103" t="s">
        <v>35</v>
      </c>
      <c r="C103" s="23">
        <v>215.83526961883828</v>
      </c>
      <c r="D103">
        <v>15002.47465528823</v>
      </c>
      <c r="E103" t="s">
        <v>3</v>
      </c>
      <c r="F103" t="s">
        <v>27</v>
      </c>
      <c r="H103">
        <v>262</v>
      </c>
      <c r="I103" t="s">
        <v>35</v>
      </c>
      <c r="K103">
        <v>15002.47466</v>
      </c>
      <c r="L103" t="s">
        <v>3</v>
      </c>
      <c r="M103" t="s">
        <v>27</v>
      </c>
      <c r="O103">
        <v>262</v>
      </c>
      <c r="P103" t="s">
        <v>35</v>
      </c>
      <c r="R103">
        <v>15002.47466</v>
      </c>
      <c r="S103" t="s">
        <v>3</v>
      </c>
      <c r="T103" t="s">
        <v>27</v>
      </c>
    </row>
    <row r="104" spans="1:45" x14ac:dyDescent="0.2">
      <c r="A104">
        <v>265</v>
      </c>
      <c r="B104" t="s">
        <v>25</v>
      </c>
      <c r="C104">
        <v>140.97247771143591</v>
      </c>
      <c r="D104">
        <v>27391.349473509777</v>
      </c>
      <c r="E104" t="s">
        <v>3</v>
      </c>
      <c r="F104" t="s">
        <v>33</v>
      </c>
      <c r="H104">
        <v>265</v>
      </c>
      <c r="I104" t="s">
        <v>25</v>
      </c>
      <c r="J104">
        <v>140.97247771143591</v>
      </c>
      <c r="K104">
        <v>27391.349470000001</v>
      </c>
      <c r="L104" t="s">
        <v>3</v>
      </c>
      <c r="M104" t="s">
        <v>33</v>
      </c>
      <c r="O104">
        <v>265</v>
      </c>
      <c r="P104" t="s">
        <v>25</v>
      </c>
      <c r="Q104">
        <v>140.97247771143591</v>
      </c>
      <c r="R104">
        <v>27391.349470000001</v>
      </c>
      <c r="S104" t="s">
        <v>3</v>
      </c>
      <c r="T104" t="s">
        <v>33</v>
      </c>
      <c r="W104" t="s">
        <v>91</v>
      </c>
      <c r="X104" t="s">
        <v>91</v>
      </c>
      <c r="AN104" t="s">
        <v>198</v>
      </c>
    </row>
    <row r="105" spans="1:45" x14ac:dyDescent="0.2">
      <c r="A105">
        <v>266</v>
      </c>
      <c r="B105" t="s">
        <v>25</v>
      </c>
      <c r="C105">
        <v>180.46883233700856</v>
      </c>
      <c r="D105">
        <v>3412.9445942061184</v>
      </c>
      <c r="E105" t="s">
        <v>2</v>
      </c>
      <c r="F105" t="s">
        <v>33</v>
      </c>
      <c r="H105">
        <v>266</v>
      </c>
      <c r="I105" t="s">
        <v>25</v>
      </c>
      <c r="J105">
        <v>180.46883233700856</v>
      </c>
      <c r="K105">
        <v>3412.9445940000001</v>
      </c>
      <c r="L105" t="s">
        <v>2</v>
      </c>
      <c r="M105" t="s">
        <v>33</v>
      </c>
      <c r="O105">
        <v>266</v>
      </c>
      <c r="P105" t="s">
        <v>25</v>
      </c>
      <c r="Q105">
        <v>180.46883233700856</v>
      </c>
      <c r="R105">
        <v>3412.9445940000001</v>
      </c>
      <c r="S105" t="s">
        <v>2</v>
      </c>
      <c r="T105" t="s">
        <v>33</v>
      </c>
      <c r="W105" t="s">
        <v>69</v>
      </c>
      <c r="X105">
        <v>139.56677999999999</v>
      </c>
    </row>
    <row r="106" spans="1:45" x14ac:dyDescent="0.2">
      <c r="A106">
        <v>267</v>
      </c>
      <c r="B106" t="s">
        <v>25</v>
      </c>
      <c r="C106">
        <v>76.611798097013505</v>
      </c>
      <c r="D106">
        <v>18782.377985001189</v>
      </c>
      <c r="E106" t="s">
        <v>3</v>
      </c>
      <c r="F106" t="s">
        <v>33</v>
      </c>
      <c r="H106">
        <v>267</v>
      </c>
      <c r="I106" t="s">
        <v>25</v>
      </c>
      <c r="J106">
        <v>76.611798097013505</v>
      </c>
      <c r="K106">
        <v>18782.377990000001</v>
      </c>
      <c r="L106" t="s">
        <v>3</v>
      </c>
      <c r="M106" t="s">
        <v>33</v>
      </c>
      <c r="O106">
        <v>267</v>
      </c>
      <c r="P106" t="s">
        <v>25</v>
      </c>
      <c r="Q106">
        <v>76.611798097013505</v>
      </c>
      <c r="R106">
        <v>18782.377990000001</v>
      </c>
      <c r="S106" t="s">
        <v>3</v>
      </c>
      <c r="T106" t="s">
        <v>33</v>
      </c>
      <c r="W106" t="s">
        <v>92</v>
      </c>
      <c r="X106">
        <v>34.436121</v>
      </c>
      <c r="AN106" t="s">
        <v>199</v>
      </c>
      <c r="AO106" t="s">
        <v>114</v>
      </c>
      <c r="AP106" t="s">
        <v>200</v>
      </c>
    </row>
    <row r="107" spans="1:45" x14ac:dyDescent="0.2">
      <c r="A107">
        <v>268</v>
      </c>
      <c r="B107" t="s">
        <v>29</v>
      </c>
      <c r="C107">
        <v>149.9775944193558</v>
      </c>
      <c r="D107">
        <v>4328.5463876684407</v>
      </c>
      <c r="E107" t="s">
        <v>2</v>
      </c>
      <c r="F107" t="s">
        <v>27</v>
      </c>
      <c r="H107">
        <v>268</v>
      </c>
      <c r="I107" t="s">
        <v>29</v>
      </c>
      <c r="J107">
        <v>149.9775944193558</v>
      </c>
      <c r="K107">
        <v>4328.5463879999998</v>
      </c>
      <c r="L107" t="s">
        <v>2</v>
      </c>
      <c r="M107" t="s">
        <v>27</v>
      </c>
      <c r="O107">
        <v>268</v>
      </c>
      <c r="P107" t="s">
        <v>29</v>
      </c>
      <c r="Q107">
        <v>149.9775944193558</v>
      </c>
      <c r="R107">
        <v>4328.5463879999998</v>
      </c>
      <c r="S107" t="s">
        <v>2</v>
      </c>
      <c r="T107" t="s">
        <v>27</v>
      </c>
      <c r="W107" t="s">
        <v>93</v>
      </c>
      <c r="X107">
        <v>6.3946271000000001</v>
      </c>
      <c r="AD107" t="s">
        <v>203</v>
      </c>
      <c r="AN107">
        <v>8.6165000000000003</v>
      </c>
      <c r="AO107">
        <v>2</v>
      </c>
      <c r="AP107" s="23">
        <v>1.35E-2</v>
      </c>
    </row>
    <row r="108" spans="1:45" x14ac:dyDescent="0.2">
      <c r="A108">
        <v>269</v>
      </c>
      <c r="B108" t="s">
        <v>29</v>
      </c>
      <c r="C108">
        <v>133.91716217084652</v>
      </c>
      <c r="D108">
        <v>68641.973168407683</v>
      </c>
      <c r="E108" t="s">
        <v>3</v>
      </c>
      <c r="F108" t="s">
        <v>33</v>
      </c>
      <c r="H108">
        <v>269</v>
      </c>
      <c r="I108" t="s">
        <v>29</v>
      </c>
      <c r="J108">
        <v>133.91716217084652</v>
      </c>
      <c r="K108">
        <v>68641.973169999997</v>
      </c>
      <c r="L108" t="s">
        <v>3</v>
      </c>
      <c r="M108" t="s">
        <v>33</v>
      </c>
      <c r="O108">
        <v>269</v>
      </c>
      <c r="P108" t="s">
        <v>29</v>
      </c>
      <c r="Q108">
        <v>133.91716217084652</v>
      </c>
      <c r="R108">
        <v>68641.973169999997</v>
      </c>
      <c r="S108" t="s">
        <v>3</v>
      </c>
      <c r="T108" t="s">
        <v>33</v>
      </c>
      <c r="W108" t="s">
        <v>94</v>
      </c>
      <c r="X108">
        <v>152.66558000000001</v>
      </c>
    </row>
    <row r="109" spans="1:45" x14ac:dyDescent="0.2">
      <c r="A109">
        <v>271</v>
      </c>
      <c r="B109" t="s">
        <v>35</v>
      </c>
      <c r="C109">
        <v>149.28689333854987</v>
      </c>
      <c r="D109">
        <v>9854.7028210180397</v>
      </c>
      <c r="E109" t="s">
        <v>3</v>
      </c>
      <c r="F109" t="s">
        <v>27</v>
      </c>
      <c r="H109">
        <v>271</v>
      </c>
      <c r="I109" t="s">
        <v>35</v>
      </c>
      <c r="J109">
        <v>149.28689333854987</v>
      </c>
      <c r="K109">
        <v>9854.7028210000008</v>
      </c>
      <c r="L109" t="s">
        <v>3</v>
      </c>
      <c r="M109" t="s">
        <v>27</v>
      </c>
      <c r="O109">
        <v>271</v>
      </c>
      <c r="P109" t="s">
        <v>35</v>
      </c>
      <c r="Q109">
        <v>149.28689333854987</v>
      </c>
      <c r="R109">
        <v>9854.7028210000008</v>
      </c>
      <c r="S109" t="s">
        <v>3</v>
      </c>
      <c r="T109" t="s">
        <v>27</v>
      </c>
      <c r="W109" t="s">
        <v>95</v>
      </c>
      <c r="X109">
        <v>126.46798</v>
      </c>
      <c r="AD109" t="s">
        <v>204</v>
      </c>
      <c r="AE109" t="s">
        <v>205</v>
      </c>
      <c r="AF109" t="s">
        <v>206</v>
      </c>
    </row>
    <row r="110" spans="1:45" x14ac:dyDescent="0.2">
      <c r="A110">
        <v>272</v>
      </c>
      <c r="B110" t="s">
        <v>35</v>
      </c>
      <c r="C110">
        <v>117.83293801611948</v>
      </c>
      <c r="D110">
        <v>2673.6100414695106</v>
      </c>
      <c r="E110" t="s">
        <v>2</v>
      </c>
      <c r="F110" t="s">
        <v>27</v>
      </c>
      <c r="H110">
        <v>272</v>
      </c>
      <c r="I110" t="s">
        <v>35</v>
      </c>
      <c r="J110">
        <v>117.83293801611948</v>
      </c>
      <c r="K110">
        <v>2673.6100409999999</v>
      </c>
      <c r="L110" t="s">
        <v>2</v>
      </c>
      <c r="M110" t="s">
        <v>27</v>
      </c>
      <c r="O110">
        <v>272</v>
      </c>
      <c r="P110" t="s">
        <v>35</v>
      </c>
      <c r="Q110">
        <v>117.83293801611948</v>
      </c>
      <c r="R110">
        <v>2673.6100409999999</v>
      </c>
      <c r="S110" t="s">
        <v>2</v>
      </c>
      <c r="T110" t="s">
        <v>27</v>
      </c>
      <c r="W110" t="s">
        <v>96</v>
      </c>
      <c r="X110">
        <v>29</v>
      </c>
      <c r="AD110">
        <v>911</v>
      </c>
      <c r="AE110">
        <v>-1.1036300000000001</v>
      </c>
      <c r="AF110">
        <v>0.26979999999999998</v>
      </c>
    </row>
    <row r="111" spans="1:45" x14ac:dyDescent="0.2">
      <c r="A111">
        <v>273</v>
      </c>
      <c r="B111" t="s">
        <v>29</v>
      </c>
      <c r="C111">
        <v>122.28358497033543</v>
      </c>
      <c r="D111">
        <v>46765.027245823665</v>
      </c>
      <c r="E111" t="s">
        <v>3</v>
      </c>
      <c r="F111" t="s">
        <v>33</v>
      </c>
      <c r="H111">
        <v>273</v>
      </c>
      <c r="I111" t="s">
        <v>29</v>
      </c>
      <c r="J111">
        <v>122.28358497033543</v>
      </c>
      <c r="K111">
        <v>46765.027249999999</v>
      </c>
      <c r="L111" t="s">
        <v>3</v>
      </c>
      <c r="M111" t="s">
        <v>33</v>
      </c>
      <c r="O111">
        <v>273</v>
      </c>
      <c r="P111" t="s">
        <v>29</v>
      </c>
      <c r="Q111">
        <v>122.28358497033543</v>
      </c>
      <c r="R111">
        <v>46765.027249999999</v>
      </c>
      <c r="S111" t="s">
        <v>3</v>
      </c>
      <c r="T111" t="s">
        <v>33</v>
      </c>
    </row>
    <row r="112" spans="1:45" x14ac:dyDescent="0.2">
      <c r="A112">
        <v>281</v>
      </c>
      <c r="B112" t="s">
        <v>25</v>
      </c>
      <c r="C112">
        <v>108.17703393395827</v>
      </c>
      <c r="D112">
        <v>2854.543238436192</v>
      </c>
      <c r="E112" t="s">
        <v>2</v>
      </c>
      <c r="F112" t="s">
        <v>27</v>
      </c>
      <c r="H112">
        <v>281</v>
      </c>
      <c r="I112" t="s">
        <v>25</v>
      </c>
      <c r="J112">
        <v>108.17703393395827</v>
      </c>
      <c r="K112">
        <v>2854.5432380000002</v>
      </c>
      <c r="L112" t="s">
        <v>2</v>
      </c>
      <c r="M112" t="s">
        <v>27</v>
      </c>
      <c r="O112">
        <v>281</v>
      </c>
      <c r="P112" t="s">
        <v>25</v>
      </c>
      <c r="Q112">
        <v>108.17703393395827</v>
      </c>
      <c r="R112">
        <v>2854.5432380000002</v>
      </c>
      <c r="S112" t="s">
        <v>2</v>
      </c>
      <c r="T112" t="s">
        <v>27</v>
      </c>
      <c r="AN112" t="s">
        <v>164</v>
      </c>
    </row>
    <row r="113" spans="1:43" x14ac:dyDescent="0.2">
      <c r="A113">
        <v>282</v>
      </c>
      <c r="B113" t="s">
        <v>29</v>
      </c>
      <c r="C113">
        <v>125.89575467171464</v>
      </c>
      <c r="D113">
        <v>3115.1086756616542</v>
      </c>
      <c r="E113" t="s">
        <v>2</v>
      </c>
      <c r="F113" t="s">
        <v>27</v>
      </c>
      <c r="H113">
        <v>282</v>
      </c>
      <c r="I113" t="s">
        <v>29</v>
      </c>
      <c r="J113">
        <v>125.89575467171464</v>
      </c>
      <c r="K113">
        <v>3115.1086759999998</v>
      </c>
      <c r="L113" t="s">
        <v>2</v>
      </c>
      <c r="M113" t="s">
        <v>27</v>
      </c>
      <c r="O113">
        <v>282</v>
      </c>
      <c r="P113" t="s">
        <v>29</v>
      </c>
      <c r="Q113">
        <v>125.89575467171464</v>
      </c>
      <c r="R113">
        <v>3115.1086759999998</v>
      </c>
      <c r="S113" t="s">
        <v>2</v>
      </c>
      <c r="T113" t="s">
        <v>27</v>
      </c>
    </row>
    <row r="114" spans="1:43" x14ac:dyDescent="0.2">
      <c r="A114">
        <v>287</v>
      </c>
      <c r="B114" t="s">
        <v>35</v>
      </c>
      <c r="C114">
        <v>117.39834135787679</v>
      </c>
      <c r="D114">
        <v>18274.468972377403</v>
      </c>
      <c r="E114" t="s">
        <v>3</v>
      </c>
      <c r="F114" t="s">
        <v>27</v>
      </c>
      <c r="H114">
        <v>287</v>
      </c>
      <c r="I114" t="s">
        <v>35</v>
      </c>
      <c r="J114">
        <v>117.39834135787679</v>
      </c>
      <c r="K114">
        <v>18274.468970000002</v>
      </c>
      <c r="L114" t="s">
        <v>3</v>
      </c>
      <c r="M114" t="s">
        <v>27</v>
      </c>
      <c r="O114">
        <v>287</v>
      </c>
      <c r="P114" t="s">
        <v>35</v>
      </c>
      <c r="Q114">
        <v>117.39834135787679</v>
      </c>
      <c r="R114">
        <v>18274.468970000002</v>
      </c>
      <c r="S114" t="s">
        <v>3</v>
      </c>
      <c r="T114" t="s">
        <v>27</v>
      </c>
    </row>
    <row r="115" spans="1:43" x14ac:dyDescent="0.2">
      <c r="A115">
        <v>288</v>
      </c>
      <c r="B115" t="s">
        <v>35</v>
      </c>
      <c r="C115">
        <v>89.818100186257041</v>
      </c>
      <c r="D115">
        <v>810.95862880076152</v>
      </c>
      <c r="E115" t="s">
        <v>2</v>
      </c>
      <c r="F115" t="s">
        <v>27</v>
      </c>
      <c r="H115">
        <v>288</v>
      </c>
      <c r="I115" t="s">
        <v>35</v>
      </c>
      <c r="J115">
        <v>89.818100186257041</v>
      </c>
      <c r="K115">
        <v>810.95862880000004</v>
      </c>
      <c r="L115" t="s">
        <v>2</v>
      </c>
      <c r="M115" t="s">
        <v>27</v>
      </c>
      <c r="O115">
        <v>288</v>
      </c>
      <c r="P115" t="s">
        <v>35</v>
      </c>
      <c r="Q115">
        <v>89.818100186257041</v>
      </c>
      <c r="R115">
        <v>810.95862880000004</v>
      </c>
      <c r="S115" t="s">
        <v>2</v>
      </c>
      <c r="T115" t="s">
        <v>27</v>
      </c>
      <c r="W115" t="s">
        <v>97</v>
      </c>
      <c r="AD115" t="s">
        <v>198</v>
      </c>
      <c r="AN115" t="s">
        <v>165</v>
      </c>
    </row>
    <row r="116" spans="1:43" x14ac:dyDescent="0.2">
      <c r="A116">
        <v>290</v>
      </c>
      <c r="B116" t="s">
        <v>25</v>
      </c>
      <c r="C116">
        <v>112.42724277459061</v>
      </c>
      <c r="D116">
        <v>19126.159243715065</v>
      </c>
      <c r="E116" t="s">
        <v>3</v>
      </c>
      <c r="F116" t="s">
        <v>27</v>
      </c>
      <c r="H116">
        <v>290</v>
      </c>
      <c r="I116" t="s">
        <v>25</v>
      </c>
      <c r="J116">
        <v>112.42724277459061</v>
      </c>
      <c r="K116">
        <v>19126.159240000001</v>
      </c>
      <c r="L116" t="s">
        <v>3</v>
      </c>
      <c r="M116" t="s">
        <v>27</v>
      </c>
      <c r="O116">
        <v>290</v>
      </c>
      <c r="P116" t="s">
        <v>25</v>
      </c>
      <c r="Q116">
        <v>112.42724277459061</v>
      </c>
      <c r="R116">
        <v>19126.159240000001</v>
      </c>
      <c r="S116" t="s">
        <v>3</v>
      </c>
      <c r="T116" t="s">
        <v>27</v>
      </c>
    </row>
    <row r="117" spans="1:43" x14ac:dyDescent="0.2">
      <c r="A117">
        <v>291</v>
      </c>
      <c r="B117" t="s">
        <v>25</v>
      </c>
      <c r="C117">
        <v>89.603658071567565</v>
      </c>
      <c r="D117">
        <v>15002.47465528823</v>
      </c>
      <c r="E117" t="s">
        <v>3</v>
      </c>
      <c r="F117" t="s">
        <v>27</v>
      </c>
      <c r="H117">
        <v>291</v>
      </c>
      <c r="I117" t="s">
        <v>25</v>
      </c>
      <c r="J117">
        <v>89.603658071567565</v>
      </c>
      <c r="K117">
        <v>15002.47466</v>
      </c>
      <c r="L117" t="s">
        <v>3</v>
      </c>
      <c r="M117" t="s">
        <v>27</v>
      </c>
      <c r="O117">
        <v>291</v>
      </c>
      <c r="P117" t="s">
        <v>25</v>
      </c>
      <c r="Q117">
        <v>89.603658071567565</v>
      </c>
      <c r="R117">
        <v>15002.47466</v>
      </c>
      <c r="S117" t="s">
        <v>3</v>
      </c>
      <c r="T117" t="s">
        <v>27</v>
      </c>
      <c r="AD117" t="s">
        <v>199</v>
      </c>
      <c r="AE117" t="s">
        <v>114</v>
      </c>
      <c r="AF117" t="s">
        <v>200</v>
      </c>
    </row>
    <row r="118" spans="1:43" x14ac:dyDescent="0.2">
      <c r="A118">
        <v>293</v>
      </c>
      <c r="B118" t="s">
        <v>25</v>
      </c>
      <c r="C118">
        <v>87.058051347048902</v>
      </c>
      <c r="D118">
        <v>15841.305495682434</v>
      </c>
      <c r="E118" t="s">
        <v>3</v>
      </c>
      <c r="F118" t="s">
        <v>27</v>
      </c>
      <c r="H118">
        <v>293</v>
      </c>
      <c r="I118" t="s">
        <v>25</v>
      </c>
      <c r="J118">
        <v>87.058051347048902</v>
      </c>
      <c r="K118">
        <v>15841.3055</v>
      </c>
      <c r="L118" t="s">
        <v>3</v>
      </c>
      <c r="M118" t="s">
        <v>27</v>
      </c>
      <c r="O118">
        <v>293</v>
      </c>
      <c r="P118" t="s">
        <v>25</v>
      </c>
      <c r="Q118">
        <v>87.058051347048902</v>
      </c>
      <c r="R118">
        <v>15841.3055</v>
      </c>
      <c r="S118" t="s">
        <v>3</v>
      </c>
      <c r="T118" t="s">
        <v>27</v>
      </c>
      <c r="W118" t="s">
        <v>269</v>
      </c>
      <c r="AD118">
        <v>1.2317</v>
      </c>
      <c r="AE118">
        <v>1</v>
      </c>
      <c r="AF118" s="23">
        <v>0.2671</v>
      </c>
      <c r="AN118" t="s">
        <v>166</v>
      </c>
    </row>
    <row r="119" spans="1:43" x14ac:dyDescent="0.2">
      <c r="A119">
        <v>294</v>
      </c>
      <c r="B119" t="s">
        <v>29</v>
      </c>
      <c r="C119">
        <v>119.81190438106582</v>
      </c>
      <c r="D119">
        <v>42213.354291614996</v>
      </c>
      <c r="E119" t="s">
        <v>3</v>
      </c>
      <c r="F119" t="s">
        <v>33</v>
      </c>
      <c r="H119">
        <v>294</v>
      </c>
      <c r="I119" t="s">
        <v>29</v>
      </c>
      <c r="J119">
        <v>119.81190438106582</v>
      </c>
      <c r="K119">
        <v>42213.354290000003</v>
      </c>
      <c r="L119" t="s">
        <v>3</v>
      </c>
      <c r="M119" t="s">
        <v>33</v>
      </c>
      <c r="O119">
        <v>294</v>
      </c>
      <c r="P119" t="s">
        <v>29</v>
      </c>
      <c r="Q119">
        <v>119.81190438106582</v>
      </c>
      <c r="R119">
        <v>42213.354290000003</v>
      </c>
      <c r="S119" t="s">
        <v>3</v>
      </c>
      <c r="T119" t="s">
        <v>33</v>
      </c>
    </row>
    <row r="120" spans="1:43" x14ac:dyDescent="0.2">
      <c r="A120">
        <v>296</v>
      </c>
      <c r="B120" t="s">
        <v>35</v>
      </c>
      <c r="C120">
        <v>148.84132986604754</v>
      </c>
      <c r="D120">
        <v>9525.0193755613454</v>
      </c>
      <c r="E120" t="s">
        <v>3</v>
      </c>
      <c r="F120" t="s">
        <v>27</v>
      </c>
      <c r="H120">
        <v>296</v>
      </c>
      <c r="I120" t="s">
        <v>35</v>
      </c>
      <c r="J120">
        <v>148.84132986604754</v>
      </c>
      <c r="K120">
        <v>9525.0193760000002</v>
      </c>
      <c r="L120" t="s">
        <v>3</v>
      </c>
      <c r="M120" t="s">
        <v>27</v>
      </c>
      <c r="O120">
        <v>296</v>
      </c>
      <c r="P120" t="s">
        <v>35</v>
      </c>
      <c r="Q120">
        <v>148.84132986604754</v>
      </c>
      <c r="R120">
        <v>9525.0193760000002</v>
      </c>
      <c r="S120" t="s">
        <v>3</v>
      </c>
      <c r="T120" t="s">
        <v>27</v>
      </c>
      <c r="W120" t="s">
        <v>270</v>
      </c>
      <c r="X120" t="s">
        <v>271</v>
      </c>
      <c r="Y120" t="s">
        <v>272</v>
      </c>
      <c r="Z120" t="s">
        <v>161</v>
      </c>
      <c r="AA120" t="s">
        <v>162</v>
      </c>
      <c r="AN120" t="s">
        <v>167</v>
      </c>
      <c r="AO120" t="s">
        <v>168</v>
      </c>
    </row>
    <row r="121" spans="1:43" x14ac:dyDescent="0.2">
      <c r="A121">
        <v>300</v>
      </c>
      <c r="B121" t="s">
        <v>29</v>
      </c>
      <c r="C121">
        <v>177.89471342465592</v>
      </c>
      <c r="D121">
        <v>8539.7738513755612</v>
      </c>
      <c r="E121" t="s">
        <v>3</v>
      </c>
      <c r="F121" t="s">
        <v>27</v>
      </c>
      <c r="H121">
        <v>300</v>
      </c>
      <c r="I121" t="s">
        <v>29</v>
      </c>
      <c r="J121">
        <v>177.89471342465592</v>
      </c>
      <c r="K121">
        <v>8539.7738509999999</v>
      </c>
      <c r="L121" t="s">
        <v>3</v>
      </c>
      <c r="M121" t="s">
        <v>27</v>
      </c>
      <c r="O121">
        <v>300</v>
      </c>
      <c r="P121" t="s">
        <v>29</v>
      </c>
      <c r="Q121">
        <v>177.89471342465592</v>
      </c>
      <c r="R121">
        <v>8539.7738509999999</v>
      </c>
      <c r="S121" t="s">
        <v>3</v>
      </c>
      <c r="T121" t="s">
        <v>27</v>
      </c>
      <c r="W121" t="s">
        <v>273</v>
      </c>
      <c r="X121" t="s">
        <v>274</v>
      </c>
      <c r="Y121">
        <v>139.56677999999999</v>
      </c>
      <c r="Z121">
        <v>126.46798</v>
      </c>
      <c r="AA121">
        <v>152.66558000000001</v>
      </c>
      <c r="AN121">
        <v>2.36591</v>
      </c>
      <c r="AO121">
        <v>0.05</v>
      </c>
    </row>
    <row r="122" spans="1:43" x14ac:dyDescent="0.2">
      <c r="A122">
        <v>302</v>
      </c>
      <c r="B122" t="s">
        <v>29</v>
      </c>
      <c r="C122">
        <v>147.5450114751398</v>
      </c>
      <c r="D122">
        <v>51031.515429027189</v>
      </c>
      <c r="E122" t="s">
        <v>3</v>
      </c>
      <c r="F122" t="s">
        <v>33</v>
      </c>
      <c r="H122">
        <v>302</v>
      </c>
      <c r="I122" t="s">
        <v>29</v>
      </c>
      <c r="J122">
        <v>147.5450114751398</v>
      </c>
      <c r="K122">
        <v>51031.515429999999</v>
      </c>
      <c r="L122" t="s">
        <v>3</v>
      </c>
      <c r="M122" t="s">
        <v>33</v>
      </c>
      <c r="O122">
        <v>302</v>
      </c>
      <c r="P122" t="s">
        <v>29</v>
      </c>
      <c r="Q122">
        <v>147.5450114751398</v>
      </c>
      <c r="R122">
        <v>51031.515429999999</v>
      </c>
      <c r="S122" t="s">
        <v>3</v>
      </c>
      <c r="T122" t="s">
        <v>33</v>
      </c>
      <c r="W122" t="s">
        <v>275</v>
      </c>
      <c r="X122" t="s">
        <v>276</v>
      </c>
      <c r="Y122">
        <v>34.436121</v>
      </c>
      <c r="Z122">
        <v>27.327798000000001</v>
      </c>
      <c r="AA122">
        <v>46.573191000000001</v>
      </c>
    </row>
    <row r="123" spans="1:43" x14ac:dyDescent="0.2">
      <c r="A123">
        <v>304</v>
      </c>
      <c r="B123" t="s">
        <v>29</v>
      </c>
      <c r="C123">
        <v>151.74980113635786</v>
      </c>
      <c r="D123">
        <v>50039.998439769202</v>
      </c>
      <c r="E123" t="s">
        <v>3</v>
      </c>
      <c r="F123" t="s">
        <v>33</v>
      </c>
      <c r="H123">
        <v>304</v>
      </c>
      <c r="I123" t="s">
        <v>29</v>
      </c>
      <c r="J123">
        <v>151.74980113635786</v>
      </c>
      <c r="K123">
        <v>50039.998440000003</v>
      </c>
      <c r="L123" t="s">
        <v>3</v>
      </c>
      <c r="M123" t="s">
        <v>33</v>
      </c>
      <c r="O123">
        <v>304</v>
      </c>
      <c r="P123" t="s">
        <v>29</v>
      </c>
      <c r="Q123">
        <v>151.74980113635786</v>
      </c>
      <c r="R123">
        <v>50039.998440000003</v>
      </c>
      <c r="S123" t="s">
        <v>3</v>
      </c>
      <c r="T123" t="s">
        <v>33</v>
      </c>
      <c r="AD123" t="s">
        <v>121</v>
      </c>
    </row>
    <row r="124" spans="1:43" x14ac:dyDescent="0.2">
      <c r="A124">
        <v>305</v>
      </c>
      <c r="B124" t="s">
        <v>35</v>
      </c>
      <c r="C124">
        <v>180.93243109173525</v>
      </c>
      <c r="D124">
        <v>16710.835275770762</v>
      </c>
      <c r="E124" t="s">
        <v>3</v>
      </c>
      <c r="F124" t="s">
        <v>27</v>
      </c>
      <c r="H124">
        <v>305</v>
      </c>
      <c r="I124" t="s">
        <v>35</v>
      </c>
      <c r="J124">
        <v>180.93243109173525</v>
      </c>
      <c r="K124">
        <v>16710.835279999999</v>
      </c>
      <c r="L124" t="s">
        <v>3</v>
      </c>
      <c r="M124" t="s">
        <v>27</v>
      </c>
      <c r="O124">
        <v>305</v>
      </c>
      <c r="P124" t="s">
        <v>35</v>
      </c>
      <c r="Q124">
        <v>180.93243109173525</v>
      </c>
      <c r="R124">
        <v>16710.835279999999</v>
      </c>
      <c r="S124" t="s">
        <v>3</v>
      </c>
      <c r="T124" t="s">
        <v>27</v>
      </c>
    </row>
    <row r="125" spans="1:43" x14ac:dyDescent="0.2">
      <c r="A125">
        <v>311</v>
      </c>
      <c r="B125" t="s">
        <v>29</v>
      </c>
      <c r="C125">
        <v>142.2141023271233</v>
      </c>
      <c r="D125">
        <v>100740.31275186824</v>
      </c>
      <c r="E125" t="s">
        <v>3</v>
      </c>
      <c r="F125" t="s">
        <v>33</v>
      </c>
      <c r="H125">
        <v>311</v>
      </c>
      <c r="I125" t="s">
        <v>29</v>
      </c>
      <c r="J125">
        <v>142.2141023271233</v>
      </c>
      <c r="K125">
        <v>100740.3128</v>
      </c>
      <c r="L125" t="s">
        <v>3</v>
      </c>
      <c r="M125" t="s">
        <v>33</v>
      </c>
      <c r="O125">
        <v>311</v>
      </c>
      <c r="P125" t="s">
        <v>29</v>
      </c>
      <c r="Q125">
        <v>142.2141023271233</v>
      </c>
      <c r="R125">
        <v>100740.3128</v>
      </c>
      <c r="S125" t="s">
        <v>3</v>
      </c>
      <c r="T125" t="s">
        <v>33</v>
      </c>
      <c r="W125" t="s">
        <v>277</v>
      </c>
      <c r="AD125" t="s">
        <v>107</v>
      </c>
    </row>
    <row r="126" spans="1:43" x14ac:dyDescent="0.2">
      <c r="A126">
        <v>314</v>
      </c>
      <c r="B126" t="s">
        <v>25</v>
      </c>
      <c r="C126">
        <v>89.159250886279025</v>
      </c>
      <c r="D126">
        <v>33284.635523539029</v>
      </c>
      <c r="E126" t="s">
        <v>3</v>
      </c>
      <c r="F126" t="s">
        <v>27</v>
      </c>
      <c r="H126">
        <v>314</v>
      </c>
      <c r="I126" t="s">
        <v>25</v>
      </c>
      <c r="J126">
        <v>89.159250886279025</v>
      </c>
      <c r="K126">
        <v>33284.635520000003</v>
      </c>
      <c r="L126" t="s">
        <v>3</v>
      </c>
      <c r="M126" t="s">
        <v>27</v>
      </c>
      <c r="O126">
        <v>314</v>
      </c>
      <c r="P126" t="s">
        <v>25</v>
      </c>
      <c r="Q126">
        <v>89.159250886279025</v>
      </c>
      <c r="R126">
        <v>33284.635520000003</v>
      </c>
      <c r="S126" t="s">
        <v>3</v>
      </c>
      <c r="T126" t="s">
        <v>27</v>
      </c>
      <c r="AD126">
        <v>5</v>
      </c>
      <c r="AN126" t="s">
        <v>169</v>
      </c>
    </row>
    <row r="127" spans="1:43" x14ac:dyDescent="0.2">
      <c r="A127">
        <v>320</v>
      </c>
      <c r="B127" t="s">
        <v>25</v>
      </c>
      <c r="C127">
        <v>197.73130680706734</v>
      </c>
      <c r="D127">
        <v>40478.780456603155</v>
      </c>
      <c r="E127" t="s">
        <v>3</v>
      </c>
      <c r="F127" t="s">
        <v>33</v>
      </c>
      <c r="H127">
        <v>320</v>
      </c>
      <c r="I127" t="s">
        <v>25</v>
      </c>
      <c r="J127">
        <v>197.73130680706734</v>
      </c>
      <c r="K127">
        <v>40478.780460000002</v>
      </c>
      <c r="L127" t="s">
        <v>3</v>
      </c>
      <c r="M127" t="s">
        <v>33</v>
      </c>
      <c r="O127">
        <v>320</v>
      </c>
      <c r="P127" t="s">
        <v>25</v>
      </c>
      <c r="Q127">
        <v>197.73130680706734</v>
      </c>
      <c r="R127">
        <v>40478.780460000002</v>
      </c>
      <c r="S127" t="s">
        <v>3</v>
      </c>
      <c r="T127" t="s">
        <v>33</v>
      </c>
      <c r="AN127" t="s">
        <v>170</v>
      </c>
    </row>
    <row r="128" spans="1:43" x14ac:dyDescent="0.2">
      <c r="A128">
        <v>321</v>
      </c>
      <c r="B128" t="s">
        <v>29</v>
      </c>
      <c r="C128">
        <v>158.38216391260653</v>
      </c>
      <c r="D128">
        <v>1291.1142349168879</v>
      </c>
      <c r="E128" t="s">
        <v>2</v>
      </c>
      <c r="F128" t="s">
        <v>33</v>
      </c>
      <c r="H128">
        <v>321</v>
      </c>
      <c r="I128" t="s">
        <v>29</v>
      </c>
      <c r="J128">
        <v>158.38216391260653</v>
      </c>
      <c r="K128">
        <v>1291.114235</v>
      </c>
      <c r="L128" t="s">
        <v>2</v>
      </c>
      <c r="M128" t="s">
        <v>33</v>
      </c>
      <c r="O128">
        <v>321</v>
      </c>
      <c r="P128" t="s">
        <v>29</v>
      </c>
      <c r="Q128">
        <v>158.38216391260653</v>
      </c>
      <c r="R128">
        <v>1291.114235</v>
      </c>
      <c r="S128" t="s">
        <v>2</v>
      </c>
      <c r="T128" t="s">
        <v>33</v>
      </c>
      <c r="AO128" t="s">
        <v>29</v>
      </c>
      <c r="AP128" t="s">
        <v>25</v>
      </c>
      <c r="AQ128" t="s">
        <v>35</v>
      </c>
    </row>
    <row r="129" spans="1:48" x14ac:dyDescent="0.2">
      <c r="A129">
        <v>322</v>
      </c>
      <c r="B129" t="s">
        <v>29</v>
      </c>
      <c r="C129">
        <v>179.51072983818023</v>
      </c>
      <c r="D129">
        <v>72775.953053364443</v>
      </c>
      <c r="E129" t="s">
        <v>3</v>
      </c>
      <c r="F129" t="s">
        <v>33</v>
      </c>
      <c r="H129">
        <v>322</v>
      </c>
      <c r="I129" t="s">
        <v>29</v>
      </c>
      <c r="J129">
        <v>179.51072983818023</v>
      </c>
      <c r="K129">
        <v>72775.953049999996</v>
      </c>
      <c r="L129" t="s">
        <v>3</v>
      </c>
      <c r="M129" t="s">
        <v>33</v>
      </c>
      <c r="O129">
        <v>322</v>
      </c>
      <c r="P129" t="s">
        <v>29</v>
      </c>
      <c r="Q129">
        <v>179.51072983818023</v>
      </c>
      <c r="R129">
        <v>72775.953049999996</v>
      </c>
      <c r="S129" t="s">
        <v>3</v>
      </c>
      <c r="T129" t="s">
        <v>33</v>
      </c>
      <c r="W129" t="s">
        <v>98</v>
      </c>
      <c r="AD129" t="s">
        <v>193</v>
      </c>
      <c r="AN129" t="s">
        <v>29</v>
      </c>
      <c r="AO129">
        <v>-12.565</v>
      </c>
      <c r="AP129">
        <v>-2.6110000000000002</v>
      </c>
      <c r="AQ129">
        <v>5.0629999999999997</v>
      </c>
    </row>
    <row r="130" spans="1:48" x14ac:dyDescent="0.2">
      <c r="A130">
        <v>328</v>
      </c>
      <c r="B130" t="s">
        <v>29</v>
      </c>
      <c r="C130">
        <v>219.54803681484773</v>
      </c>
      <c r="D130">
        <v>44511.068439302609</v>
      </c>
      <c r="E130" t="s">
        <v>3</v>
      </c>
      <c r="F130" t="s">
        <v>33</v>
      </c>
      <c r="H130">
        <v>328</v>
      </c>
      <c r="I130" t="s">
        <v>29</v>
      </c>
      <c r="J130">
        <v>219.54803681484773</v>
      </c>
      <c r="K130">
        <v>44511.068440000003</v>
      </c>
      <c r="L130" t="s">
        <v>3</v>
      </c>
      <c r="M130" t="s">
        <v>33</v>
      </c>
      <c r="O130">
        <v>328</v>
      </c>
      <c r="P130" t="s">
        <v>29</v>
      </c>
      <c r="Q130">
        <v>219.54803681484773</v>
      </c>
      <c r="R130">
        <v>44511.068440000003</v>
      </c>
      <c r="S130" t="s">
        <v>3</v>
      </c>
      <c r="T130" t="s">
        <v>33</v>
      </c>
      <c r="W130" t="s">
        <v>99</v>
      </c>
      <c r="AN130" t="s">
        <v>25</v>
      </c>
      <c r="AO130">
        <v>-2.6110000000000002</v>
      </c>
      <c r="AP130">
        <v>-15.621</v>
      </c>
      <c r="AQ130">
        <v>-7.9969999999999999</v>
      </c>
    </row>
    <row r="131" spans="1:48" x14ac:dyDescent="0.2">
      <c r="A131">
        <v>329</v>
      </c>
      <c r="B131" t="s">
        <v>35</v>
      </c>
      <c r="C131">
        <v>90.166310231262088</v>
      </c>
      <c r="D131">
        <v>918.41833599602148</v>
      </c>
      <c r="E131" t="s">
        <v>2</v>
      </c>
      <c r="F131" t="s">
        <v>27</v>
      </c>
      <c r="H131">
        <v>329</v>
      </c>
      <c r="I131" t="s">
        <v>35</v>
      </c>
      <c r="J131">
        <v>90.166310231262088</v>
      </c>
      <c r="K131">
        <v>918.41833599999995</v>
      </c>
      <c r="L131" t="s">
        <v>2</v>
      </c>
      <c r="M131" t="s">
        <v>27</v>
      </c>
      <c r="O131">
        <v>329</v>
      </c>
      <c r="P131" t="s">
        <v>35</v>
      </c>
      <c r="Q131">
        <v>90.166310231262088</v>
      </c>
      <c r="R131">
        <v>918.41833599999995</v>
      </c>
      <c r="S131" t="s">
        <v>2</v>
      </c>
      <c r="T131" t="s">
        <v>27</v>
      </c>
      <c r="AD131" t="s">
        <v>158</v>
      </c>
      <c r="AE131" t="s">
        <v>82</v>
      </c>
      <c r="AF131" t="s">
        <v>194</v>
      </c>
      <c r="AG131" t="s">
        <v>195</v>
      </c>
      <c r="AH131" t="s">
        <v>196</v>
      </c>
      <c r="AI131" t="s">
        <v>197</v>
      </c>
      <c r="AN131" t="s">
        <v>35</v>
      </c>
      <c r="AO131">
        <v>5.0629999999999997</v>
      </c>
      <c r="AP131">
        <v>-7.9969999999999999</v>
      </c>
      <c r="AQ131">
        <v>-14.654</v>
      </c>
    </row>
    <row r="132" spans="1:48" x14ac:dyDescent="0.2">
      <c r="A132">
        <v>330</v>
      </c>
      <c r="B132" t="s">
        <v>35</v>
      </c>
      <c r="C132">
        <v>93.731470024567273</v>
      </c>
      <c r="D132">
        <v>1942.2784488793015</v>
      </c>
      <c r="E132" t="s">
        <v>2</v>
      </c>
      <c r="F132" t="s">
        <v>27</v>
      </c>
      <c r="H132">
        <v>330</v>
      </c>
      <c r="I132" t="s">
        <v>35</v>
      </c>
      <c r="J132">
        <v>93.731470024567273</v>
      </c>
      <c r="K132">
        <v>1942.2784489999999</v>
      </c>
      <c r="L132" t="s">
        <v>2</v>
      </c>
      <c r="M132" t="s">
        <v>27</v>
      </c>
      <c r="O132">
        <v>330</v>
      </c>
      <c r="P132" t="s">
        <v>35</v>
      </c>
      <c r="Q132">
        <v>93.731470024567273</v>
      </c>
      <c r="R132">
        <v>1942.2784489999999</v>
      </c>
      <c r="S132" t="s">
        <v>2</v>
      </c>
      <c r="T132" t="s">
        <v>27</v>
      </c>
      <c r="AD132" t="s">
        <v>2</v>
      </c>
      <c r="AE132">
        <v>19</v>
      </c>
      <c r="AF132">
        <v>433</v>
      </c>
      <c r="AG132">
        <v>427.5</v>
      </c>
      <c r="AH132">
        <v>22.7895</v>
      </c>
      <c r="AI132">
        <v>0.11799999999999999</v>
      </c>
    </row>
    <row r="133" spans="1:48" x14ac:dyDescent="0.2">
      <c r="A133">
        <v>333</v>
      </c>
      <c r="B133" t="s">
        <v>29</v>
      </c>
      <c r="C133">
        <v>206.90846073852978</v>
      </c>
      <c r="D133">
        <v>1427.538535736729</v>
      </c>
      <c r="E133" t="s">
        <v>2</v>
      </c>
      <c r="F133" t="s">
        <v>33</v>
      </c>
      <c r="H133">
        <v>333</v>
      </c>
      <c r="I133" t="s">
        <v>29</v>
      </c>
      <c r="J133">
        <v>206.90846073852978</v>
      </c>
      <c r="K133">
        <v>1427.538536</v>
      </c>
      <c r="L133" t="s">
        <v>2</v>
      </c>
      <c r="M133" t="s">
        <v>33</v>
      </c>
      <c r="O133">
        <v>333</v>
      </c>
      <c r="P133" t="s">
        <v>29</v>
      </c>
      <c r="Q133">
        <v>206.90846073852978</v>
      </c>
      <c r="R133">
        <v>1427.538536</v>
      </c>
      <c r="S133" t="s">
        <v>2</v>
      </c>
      <c r="T133" t="s">
        <v>33</v>
      </c>
      <c r="W133" t="s">
        <v>35</v>
      </c>
      <c r="X133" t="s">
        <v>91</v>
      </c>
      <c r="Y133" t="s">
        <v>100</v>
      </c>
      <c r="AD133" t="s">
        <v>3</v>
      </c>
      <c r="AE133">
        <v>25</v>
      </c>
      <c r="AF133">
        <v>557</v>
      </c>
      <c r="AG133">
        <v>562.5</v>
      </c>
      <c r="AH133">
        <v>22.28</v>
      </c>
      <c r="AI133">
        <v>-0.11799999999999999</v>
      </c>
    </row>
    <row r="134" spans="1:48" x14ac:dyDescent="0.2">
      <c r="A134">
        <v>338</v>
      </c>
      <c r="B134" t="s">
        <v>29</v>
      </c>
      <c r="C134">
        <v>194.86358882593339</v>
      </c>
      <c r="D134">
        <v>65449.846949787352</v>
      </c>
      <c r="E134" t="s">
        <v>3</v>
      </c>
      <c r="F134" t="s">
        <v>33</v>
      </c>
      <c r="H134">
        <v>338</v>
      </c>
      <c r="I134" t="s">
        <v>29</v>
      </c>
      <c r="J134">
        <v>194.86358882593339</v>
      </c>
      <c r="K134">
        <v>65449.846949999999</v>
      </c>
      <c r="L134" t="s">
        <v>3</v>
      </c>
      <c r="M134" t="s">
        <v>33</v>
      </c>
      <c r="O134">
        <v>338</v>
      </c>
      <c r="P134" t="s">
        <v>29</v>
      </c>
      <c r="Q134">
        <v>194.86358882593339</v>
      </c>
      <c r="R134">
        <v>65449.846949999999</v>
      </c>
      <c r="S134" t="s">
        <v>3</v>
      </c>
      <c r="T134" t="s">
        <v>33</v>
      </c>
      <c r="W134">
        <v>0.94475200000000004</v>
      </c>
      <c r="X134" t="s">
        <v>91</v>
      </c>
      <c r="Y134">
        <v>0.13350000000000001</v>
      </c>
      <c r="AN134" t="s">
        <v>171</v>
      </c>
    </row>
    <row r="135" spans="1:48" x14ac:dyDescent="0.2">
      <c r="A135">
        <v>339</v>
      </c>
      <c r="B135" t="s">
        <v>25</v>
      </c>
      <c r="C135">
        <v>105.47168550973402</v>
      </c>
      <c r="D135">
        <v>15674.129689516589</v>
      </c>
      <c r="E135" t="s">
        <v>3</v>
      </c>
      <c r="F135" t="s">
        <v>33</v>
      </c>
      <c r="H135">
        <v>339</v>
      </c>
      <c r="I135" t="s">
        <v>25</v>
      </c>
      <c r="J135">
        <v>105.47168550973402</v>
      </c>
      <c r="K135">
        <v>15674.12969</v>
      </c>
      <c r="L135" t="s">
        <v>3</v>
      </c>
      <c r="M135" t="s">
        <v>33</v>
      </c>
      <c r="O135">
        <v>339</v>
      </c>
      <c r="P135" t="s">
        <v>25</v>
      </c>
      <c r="Q135">
        <v>105.47168550973402</v>
      </c>
      <c r="R135">
        <v>15674.12969</v>
      </c>
      <c r="S135" t="s">
        <v>3</v>
      </c>
      <c r="T135" t="s">
        <v>33</v>
      </c>
    </row>
    <row r="136" spans="1:48" x14ac:dyDescent="0.2">
      <c r="A136">
        <v>343</v>
      </c>
      <c r="B136" t="s">
        <v>35</v>
      </c>
      <c r="C136">
        <v>106.48255794804447</v>
      </c>
      <c r="D136">
        <v>2595.2056157303646</v>
      </c>
      <c r="E136" t="s">
        <v>2</v>
      </c>
      <c r="F136" t="s">
        <v>27</v>
      </c>
      <c r="H136">
        <v>343</v>
      </c>
      <c r="I136" t="s">
        <v>35</v>
      </c>
      <c r="J136">
        <v>106.48255794804447</v>
      </c>
      <c r="K136">
        <v>2595.2056160000002</v>
      </c>
      <c r="L136" t="s">
        <v>2</v>
      </c>
      <c r="M136" t="s">
        <v>27</v>
      </c>
      <c r="O136">
        <v>343</v>
      </c>
      <c r="P136" t="s">
        <v>35</v>
      </c>
      <c r="Q136">
        <v>106.48255794804447</v>
      </c>
      <c r="R136">
        <v>2595.2056160000002</v>
      </c>
      <c r="S136" t="s">
        <v>2</v>
      </c>
      <c r="T136" t="s">
        <v>27</v>
      </c>
    </row>
    <row r="137" spans="1:48" x14ac:dyDescent="0.2">
      <c r="A137">
        <v>347</v>
      </c>
      <c r="B137" t="s">
        <v>35</v>
      </c>
      <c r="C137">
        <v>156.87241741228024</v>
      </c>
      <c r="D137">
        <v>16774.133827092021</v>
      </c>
      <c r="E137" t="s">
        <v>3</v>
      </c>
      <c r="F137" t="s">
        <v>27</v>
      </c>
      <c r="H137">
        <v>347</v>
      </c>
      <c r="I137" t="s">
        <v>35</v>
      </c>
      <c r="J137">
        <v>156.87241741228024</v>
      </c>
      <c r="K137">
        <v>16774.133829999999</v>
      </c>
      <c r="L137" t="s">
        <v>3</v>
      </c>
      <c r="M137" t="s">
        <v>27</v>
      </c>
      <c r="O137">
        <v>347</v>
      </c>
      <c r="P137" t="s">
        <v>35</v>
      </c>
      <c r="Q137">
        <v>156.87241741228024</v>
      </c>
      <c r="R137">
        <v>16774.133829999999</v>
      </c>
      <c r="S137" t="s">
        <v>3</v>
      </c>
      <c r="T137" t="s">
        <v>27</v>
      </c>
      <c r="W137" t="s">
        <v>278</v>
      </c>
    </row>
    <row r="138" spans="1:48" x14ac:dyDescent="0.2">
      <c r="A138">
        <v>349</v>
      </c>
      <c r="B138" t="s">
        <v>29</v>
      </c>
      <c r="C138">
        <v>175.02847262210017</v>
      </c>
      <c r="D138">
        <v>46827.827184502879</v>
      </c>
      <c r="E138" t="s">
        <v>3</v>
      </c>
      <c r="F138" t="s">
        <v>33</v>
      </c>
      <c r="H138">
        <v>349</v>
      </c>
      <c r="I138" t="s">
        <v>29</v>
      </c>
      <c r="J138">
        <v>175.02847262210017</v>
      </c>
      <c r="K138">
        <v>46827.82718</v>
      </c>
      <c r="L138" t="s">
        <v>3</v>
      </c>
      <c r="M138" t="s">
        <v>33</v>
      </c>
      <c r="O138">
        <v>349</v>
      </c>
      <c r="P138" t="s">
        <v>29</v>
      </c>
      <c r="Q138">
        <v>175.02847262210017</v>
      </c>
      <c r="R138">
        <v>46827.82718</v>
      </c>
      <c r="S138" t="s">
        <v>3</v>
      </c>
      <c r="T138" t="s">
        <v>33</v>
      </c>
      <c r="AD138" t="s">
        <v>203</v>
      </c>
      <c r="AN138" t="s">
        <v>172</v>
      </c>
    </row>
    <row r="139" spans="1:48" x14ac:dyDescent="0.2">
      <c r="A139">
        <v>356</v>
      </c>
      <c r="B139" t="s">
        <v>35</v>
      </c>
      <c r="C139">
        <v>145.66329108272518</v>
      </c>
      <c r="D139">
        <v>17076.985505129454</v>
      </c>
      <c r="E139" t="s">
        <v>3</v>
      </c>
      <c r="F139" t="s">
        <v>27</v>
      </c>
      <c r="H139">
        <v>356</v>
      </c>
      <c r="I139" t="s">
        <v>35</v>
      </c>
      <c r="J139">
        <v>145.66329108272518</v>
      </c>
      <c r="K139">
        <v>17076.985509999999</v>
      </c>
      <c r="L139" t="s">
        <v>3</v>
      </c>
      <c r="M139" t="s">
        <v>27</v>
      </c>
      <c r="O139">
        <v>356</v>
      </c>
      <c r="P139" t="s">
        <v>35</v>
      </c>
      <c r="Q139">
        <v>145.66329108272518</v>
      </c>
      <c r="R139">
        <v>17076.985509999999</v>
      </c>
      <c r="S139" t="s">
        <v>3</v>
      </c>
      <c r="T139" t="s">
        <v>27</v>
      </c>
    </row>
    <row r="140" spans="1:48" x14ac:dyDescent="0.2">
      <c r="A140">
        <v>357</v>
      </c>
      <c r="B140" t="s">
        <v>35</v>
      </c>
      <c r="C140">
        <v>139.21536850238297</v>
      </c>
      <c r="D140">
        <v>8992.0298559226921</v>
      </c>
      <c r="E140" t="s">
        <v>3</v>
      </c>
      <c r="F140" t="s">
        <v>27</v>
      </c>
      <c r="H140">
        <v>357</v>
      </c>
      <c r="I140" t="s">
        <v>35</v>
      </c>
      <c r="J140">
        <v>139.21536850238297</v>
      </c>
      <c r="K140">
        <v>8992.0298559999992</v>
      </c>
      <c r="L140" t="s">
        <v>3</v>
      </c>
      <c r="M140" t="s">
        <v>27</v>
      </c>
      <c r="O140">
        <v>357</v>
      </c>
      <c r="P140" t="s">
        <v>35</v>
      </c>
      <c r="Q140">
        <v>139.21536850238297</v>
      </c>
      <c r="R140">
        <v>8992.0298559999992</v>
      </c>
      <c r="S140" t="s">
        <v>3</v>
      </c>
      <c r="T140" t="s">
        <v>27</v>
      </c>
      <c r="AD140" t="s">
        <v>204</v>
      </c>
      <c r="AE140" t="s">
        <v>205</v>
      </c>
      <c r="AF140" t="s">
        <v>206</v>
      </c>
    </row>
    <row r="141" spans="1:48" x14ac:dyDescent="0.2">
      <c r="A141">
        <v>358</v>
      </c>
      <c r="B141" t="s">
        <v>25</v>
      </c>
      <c r="C141">
        <v>203.75415827587881</v>
      </c>
      <c r="D141">
        <v>16490.544633296511</v>
      </c>
      <c r="E141" t="s">
        <v>3</v>
      </c>
      <c r="F141" t="s">
        <v>33</v>
      </c>
      <c r="H141">
        <v>358</v>
      </c>
      <c r="I141" t="s">
        <v>25</v>
      </c>
      <c r="J141">
        <v>203.75415827587881</v>
      </c>
      <c r="K141">
        <v>16490.54463</v>
      </c>
      <c r="L141" t="s">
        <v>3</v>
      </c>
      <c r="M141" t="s">
        <v>33</v>
      </c>
      <c r="O141">
        <v>358</v>
      </c>
      <c r="P141" t="s">
        <v>25</v>
      </c>
      <c r="Q141">
        <v>203.75415827587881</v>
      </c>
      <c r="R141">
        <v>16490.54463</v>
      </c>
      <c r="S141" t="s">
        <v>3</v>
      </c>
      <c r="T141" t="s">
        <v>33</v>
      </c>
      <c r="W141" t="s">
        <v>101</v>
      </c>
      <c r="AD141">
        <v>433</v>
      </c>
      <c r="AE141">
        <v>0.11847000000000001</v>
      </c>
      <c r="AF141">
        <v>0.90569999999999995</v>
      </c>
      <c r="AN141" t="s">
        <v>158</v>
      </c>
      <c r="AO141" t="s">
        <v>91</v>
      </c>
      <c r="AP141" t="s">
        <v>91</v>
      </c>
      <c r="AQ141" t="s">
        <v>91</v>
      </c>
      <c r="AR141" t="s">
        <v>91</v>
      </c>
      <c r="AS141" t="s">
        <v>91</v>
      </c>
      <c r="AT141" t="s">
        <v>91</v>
      </c>
      <c r="AU141" t="s">
        <v>69</v>
      </c>
      <c r="AV141" t="s">
        <v>69</v>
      </c>
    </row>
    <row r="142" spans="1:48" x14ac:dyDescent="0.2">
      <c r="A142">
        <v>366</v>
      </c>
      <c r="B142" t="s">
        <v>35</v>
      </c>
      <c r="C142">
        <v>161.81403376065305</v>
      </c>
      <c r="D142">
        <v>12364.890281460235</v>
      </c>
      <c r="E142" t="s">
        <v>3</v>
      </c>
      <c r="F142" t="s">
        <v>27</v>
      </c>
      <c r="H142">
        <v>366</v>
      </c>
      <c r="I142" t="s">
        <v>35</v>
      </c>
      <c r="J142">
        <v>161.81403376065305</v>
      </c>
      <c r="K142">
        <v>12364.89028</v>
      </c>
      <c r="L142" t="s">
        <v>3</v>
      </c>
      <c r="M142" t="s">
        <v>27</v>
      </c>
      <c r="O142">
        <v>366</v>
      </c>
      <c r="P142" t="s">
        <v>35</v>
      </c>
      <c r="Q142">
        <v>161.81403376065305</v>
      </c>
      <c r="R142">
        <v>12364.89028</v>
      </c>
      <c r="S142" t="s">
        <v>3</v>
      </c>
      <c r="T142" t="s">
        <v>27</v>
      </c>
      <c r="AN142" t="s">
        <v>29</v>
      </c>
      <c r="AO142" t="s">
        <v>173</v>
      </c>
      <c r="AP142" t="s">
        <v>91</v>
      </c>
      <c r="AU142">
        <v>144.7997</v>
      </c>
      <c r="AV142">
        <v>144799.70000000001</v>
      </c>
    </row>
    <row r="143" spans="1:48" x14ac:dyDescent="0.2">
      <c r="A143">
        <v>372</v>
      </c>
      <c r="B143" t="s">
        <v>35</v>
      </c>
      <c r="C143">
        <v>152.25947838790802</v>
      </c>
      <c r="D143">
        <v>12403.719287521526</v>
      </c>
      <c r="E143" t="s">
        <v>3</v>
      </c>
      <c r="F143" t="s">
        <v>27</v>
      </c>
      <c r="H143">
        <v>372</v>
      </c>
      <c r="I143" t="s">
        <v>35</v>
      </c>
      <c r="J143">
        <v>152.25947838790802</v>
      </c>
      <c r="K143">
        <v>12403.719289999999</v>
      </c>
      <c r="L143" t="s">
        <v>3</v>
      </c>
      <c r="M143" t="s">
        <v>27</v>
      </c>
      <c r="O143">
        <v>372</v>
      </c>
      <c r="P143" t="s">
        <v>35</v>
      </c>
      <c r="Q143">
        <v>152.25947838790802</v>
      </c>
      <c r="R143">
        <v>12403.719289999999</v>
      </c>
      <c r="S143" t="s">
        <v>3</v>
      </c>
      <c r="T143" t="s">
        <v>27</v>
      </c>
      <c r="AN143" t="s">
        <v>25</v>
      </c>
      <c r="AO143" t="s">
        <v>173</v>
      </c>
      <c r="AP143" t="s">
        <v>226</v>
      </c>
      <c r="AU143">
        <v>133.23474999999999</v>
      </c>
      <c r="AV143">
        <v>133234.75</v>
      </c>
    </row>
    <row r="144" spans="1:48" x14ac:dyDescent="0.2">
      <c r="A144">
        <v>374</v>
      </c>
      <c r="B144" t="s">
        <v>25</v>
      </c>
      <c r="C144">
        <v>186.77827290836751</v>
      </c>
      <c r="D144">
        <v>11225.232539390583</v>
      </c>
      <c r="E144" t="s">
        <v>3</v>
      </c>
      <c r="F144" t="s">
        <v>33</v>
      </c>
      <c r="H144">
        <v>374</v>
      </c>
      <c r="I144" t="s">
        <v>25</v>
      </c>
      <c r="J144">
        <v>186.77827290836751</v>
      </c>
      <c r="K144">
        <v>11225.232540000001</v>
      </c>
      <c r="L144" t="s">
        <v>3</v>
      </c>
      <c r="M144" t="s">
        <v>33</v>
      </c>
      <c r="O144">
        <v>374</v>
      </c>
      <c r="P144" t="s">
        <v>25</v>
      </c>
      <c r="Q144">
        <v>186.77827290836751</v>
      </c>
      <c r="R144">
        <v>11225.232540000001</v>
      </c>
      <c r="S144" t="s">
        <v>3</v>
      </c>
      <c r="T144" t="s">
        <v>33</v>
      </c>
      <c r="W144" t="s">
        <v>57</v>
      </c>
      <c r="AN144" t="s">
        <v>35</v>
      </c>
      <c r="AO144" t="s">
        <v>91</v>
      </c>
      <c r="AP144" t="s">
        <v>226</v>
      </c>
      <c r="AU144">
        <v>126.08704</v>
      </c>
      <c r="AV144">
        <v>126087.03999999999</v>
      </c>
    </row>
    <row r="145" spans="1:48" x14ac:dyDescent="0.2">
      <c r="A145">
        <v>377</v>
      </c>
      <c r="B145" t="s">
        <v>25</v>
      </c>
      <c r="C145">
        <v>155.68058476426648</v>
      </c>
      <c r="D145">
        <v>11249.494560988222</v>
      </c>
      <c r="E145" t="s">
        <v>3</v>
      </c>
      <c r="F145" t="s">
        <v>33</v>
      </c>
      <c r="H145">
        <v>377</v>
      </c>
      <c r="I145" t="s">
        <v>25</v>
      </c>
      <c r="J145">
        <v>155.68058476426648</v>
      </c>
      <c r="K145">
        <v>11249.494559999999</v>
      </c>
      <c r="L145" t="s">
        <v>3</v>
      </c>
      <c r="M145" t="s">
        <v>33</v>
      </c>
      <c r="O145">
        <v>377</v>
      </c>
      <c r="P145" t="s">
        <v>25</v>
      </c>
      <c r="Q145">
        <v>155.68058476426648</v>
      </c>
      <c r="R145">
        <v>11249.494559999999</v>
      </c>
      <c r="S145" t="s">
        <v>3</v>
      </c>
      <c r="T145" t="s">
        <v>33</v>
      </c>
    </row>
    <row r="146" spans="1:48" x14ac:dyDescent="0.2">
      <c r="A146">
        <v>378</v>
      </c>
      <c r="B146" t="s">
        <v>35</v>
      </c>
      <c r="C146">
        <v>106.98402371126166</v>
      </c>
      <c r="D146">
        <v>11371.329189285862</v>
      </c>
      <c r="E146" t="s">
        <v>3</v>
      </c>
      <c r="F146" t="s">
        <v>27</v>
      </c>
      <c r="H146">
        <v>378</v>
      </c>
      <c r="I146" t="s">
        <v>35</v>
      </c>
      <c r="J146">
        <v>106.98402371126166</v>
      </c>
      <c r="K146">
        <v>11371.32919</v>
      </c>
      <c r="L146" t="s">
        <v>3</v>
      </c>
      <c r="M146" t="s">
        <v>27</v>
      </c>
      <c r="O146">
        <v>378</v>
      </c>
      <c r="P146" t="s">
        <v>35</v>
      </c>
      <c r="Q146">
        <v>106.98402371126166</v>
      </c>
      <c r="R146">
        <v>11371.32919</v>
      </c>
      <c r="S146" t="s">
        <v>3</v>
      </c>
      <c r="T146" t="s">
        <v>27</v>
      </c>
      <c r="W146" t="s">
        <v>279</v>
      </c>
      <c r="AD146" t="s">
        <v>198</v>
      </c>
    </row>
    <row r="147" spans="1:48" x14ac:dyDescent="0.2">
      <c r="A147">
        <v>379</v>
      </c>
      <c r="B147" t="s">
        <v>25</v>
      </c>
      <c r="C147">
        <v>137.07156901113316</v>
      </c>
      <c r="D147">
        <v>12159.170190728093</v>
      </c>
      <c r="E147" t="s">
        <v>3</v>
      </c>
      <c r="F147" t="s">
        <v>27</v>
      </c>
      <c r="H147">
        <v>379</v>
      </c>
      <c r="I147" t="s">
        <v>25</v>
      </c>
      <c r="J147">
        <v>137.07156901113316</v>
      </c>
      <c r="K147">
        <v>12159.170190000001</v>
      </c>
      <c r="L147" t="s">
        <v>3</v>
      </c>
      <c r="M147" t="s">
        <v>27</v>
      </c>
      <c r="O147">
        <v>379</v>
      </c>
      <c r="P147" t="s">
        <v>25</v>
      </c>
      <c r="Q147">
        <v>137.07156901113316</v>
      </c>
      <c r="R147">
        <v>12159.170190000001</v>
      </c>
      <c r="S147" t="s">
        <v>3</v>
      </c>
      <c r="T147" t="s">
        <v>27</v>
      </c>
      <c r="AN147" t="s">
        <v>174</v>
      </c>
    </row>
    <row r="148" spans="1:48" x14ac:dyDescent="0.2">
      <c r="A148">
        <v>380</v>
      </c>
      <c r="B148" t="s">
        <v>29</v>
      </c>
      <c r="C148">
        <v>120.38958966314605</v>
      </c>
      <c r="D148">
        <v>101949.18368719057</v>
      </c>
      <c r="E148" t="s">
        <v>3</v>
      </c>
      <c r="F148" t="s">
        <v>33</v>
      </c>
      <c r="H148">
        <v>380</v>
      </c>
      <c r="I148" t="s">
        <v>29</v>
      </c>
      <c r="J148">
        <v>120.38958966314605</v>
      </c>
      <c r="K148">
        <v>101949.18369999999</v>
      </c>
      <c r="L148" t="s">
        <v>3</v>
      </c>
      <c r="M148" t="s">
        <v>33</v>
      </c>
      <c r="O148">
        <v>380</v>
      </c>
      <c r="P148" t="s">
        <v>29</v>
      </c>
      <c r="Q148">
        <v>120.38958966314605</v>
      </c>
      <c r="R148">
        <v>101949.18369999999</v>
      </c>
      <c r="S148" t="s">
        <v>3</v>
      </c>
      <c r="T148" t="s">
        <v>33</v>
      </c>
      <c r="AD148" t="s">
        <v>199</v>
      </c>
      <c r="AE148" t="s">
        <v>114</v>
      </c>
      <c r="AF148" t="s">
        <v>200</v>
      </c>
    </row>
    <row r="149" spans="1:48" x14ac:dyDescent="0.2">
      <c r="A149">
        <v>381</v>
      </c>
      <c r="B149" t="s">
        <v>29</v>
      </c>
      <c r="C149">
        <v>125.92225764399993</v>
      </c>
      <c r="D149">
        <v>48802.62355941155</v>
      </c>
      <c r="E149" t="s">
        <v>3</v>
      </c>
      <c r="F149" t="s">
        <v>33</v>
      </c>
      <c r="H149">
        <v>381</v>
      </c>
      <c r="I149" t="s">
        <v>29</v>
      </c>
      <c r="J149">
        <v>125.92225764399993</v>
      </c>
      <c r="K149">
        <v>48802.62356</v>
      </c>
      <c r="L149" t="s">
        <v>3</v>
      </c>
      <c r="M149" t="s">
        <v>33</v>
      </c>
      <c r="O149">
        <v>381</v>
      </c>
      <c r="P149" t="s">
        <v>29</v>
      </c>
      <c r="Q149">
        <v>125.92225764399993</v>
      </c>
      <c r="R149">
        <v>48802.62356</v>
      </c>
      <c r="S149" t="s">
        <v>3</v>
      </c>
      <c r="T149" t="s">
        <v>33</v>
      </c>
      <c r="AD149">
        <v>1.7000000000000001E-2</v>
      </c>
      <c r="AE149">
        <v>1</v>
      </c>
      <c r="AF149" s="23">
        <v>0.89629999999999999</v>
      </c>
    </row>
    <row r="150" spans="1:48" x14ac:dyDescent="0.2">
      <c r="A150">
        <v>384</v>
      </c>
      <c r="B150" t="s">
        <v>35</v>
      </c>
      <c r="C150">
        <v>146.36152815917404</v>
      </c>
      <c r="D150">
        <v>918.41833599602148</v>
      </c>
      <c r="E150" t="s">
        <v>2</v>
      </c>
      <c r="F150" t="s">
        <v>27</v>
      </c>
      <c r="H150">
        <v>384</v>
      </c>
      <c r="I150" t="s">
        <v>35</v>
      </c>
      <c r="J150">
        <v>146.36152815917404</v>
      </c>
      <c r="K150">
        <v>918.41833599999995</v>
      </c>
      <c r="L150" t="s">
        <v>2</v>
      </c>
      <c r="M150" t="s">
        <v>27</v>
      </c>
      <c r="O150">
        <v>384</v>
      </c>
      <c r="P150" t="s">
        <v>35</v>
      </c>
      <c r="Q150">
        <v>146.36152815917404</v>
      </c>
      <c r="R150">
        <v>918.41833599999995</v>
      </c>
      <c r="S150" t="s">
        <v>2</v>
      </c>
      <c r="T150" t="s">
        <v>27</v>
      </c>
    </row>
    <row r="151" spans="1:48" x14ac:dyDescent="0.2">
      <c r="A151">
        <v>387</v>
      </c>
      <c r="B151" t="s">
        <v>35</v>
      </c>
      <c r="C151">
        <v>125.56401318314101</v>
      </c>
      <c r="D151">
        <v>1196.0682090790413</v>
      </c>
      <c r="E151" t="s">
        <v>2</v>
      </c>
      <c r="F151" t="s">
        <v>27</v>
      </c>
      <c r="H151">
        <v>387</v>
      </c>
      <c r="I151" t="s">
        <v>35</v>
      </c>
      <c r="J151">
        <v>125.56401318314101</v>
      </c>
      <c r="K151">
        <v>1196.068209</v>
      </c>
      <c r="L151" t="s">
        <v>2</v>
      </c>
      <c r="M151" t="s">
        <v>27</v>
      </c>
      <c r="O151">
        <v>387</v>
      </c>
      <c r="P151" t="s">
        <v>35</v>
      </c>
      <c r="Q151">
        <v>125.56401318314101</v>
      </c>
      <c r="R151">
        <v>1196.068209</v>
      </c>
      <c r="S151" t="s">
        <v>2</v>
      </c>
      <c r="T151" t="s">
        <v>27</v>
      </c>
      <c r="W151" t="s">
        <v>90</v>
      </c>
      <c r="AN151" t="s">
        <v>175</v>
      </c>
    </row>
    <row r="152" spans="1:48" x14ac:dyDescent="0.2">
      <c r="A152">
        <v>388</v>
      </c>
      <c r="B152" t="s">
        <v>29</v>
      </c>
      <c r="C152">
        <v>173.78959703126228</v>
      </c>
      <c r="D152">
        <v>2412.4514841174214</v>
      </c>
      <c r="E152" t="s">
        <v>2</v>
      </c>
      <c r="F152" t="s">
        <v>33</v>
      </c>
      <c r="H152">
        <v>388</v>
      </c>
      <c r="I152" t="s">
        <v>29</v>
      </c>
      <c r="J152">
        <v>173.78959703126228</v>
      </c>
      <c r="K152">
        <v>2412.4514840000002</v>
      </c>
      <c r="L152" t="s">
        <v>2</v>
      </c>
      <c r="M152" t="s">
        <v>33</v>
      </c>
      <c r="O152">
        <v>388</v>
      </c>
      <c r="P152" t="s">
        <v>29</v>
      </c>
      <c r="Q152">
        <v>173.78959703126228</v>
      </c>
      <c r="R152">
        <v>2412.4514840000002</v>
      </c>
      <c r="S152" t="s">
        <v>2</v>
      </c>
      <c r="T152" t="s">
        <v>33</v>
      </c>
    </row>
    <row r="153" spans="1:48" x14ac:dyDescent="0.2">
      <c r="A153">
        <v>391</v>
      </c>
      <c r="B153" t="s">
        <v>29</v>
      </c>
      <c r="C153">
        <v>220.43499461847173</v>
      </c>
      <c r="D153">
        <v>3299.1290858838852</v>
      </c>
      <c r="E153" t="s">
        <v>2</v>
      </c>
      <c r="F153" t="s">
        <v>33</v>
      </c>
      <c r="H153">
        <v>391</v>
      </c>
      <c r="I153" t="s">
        <v>29</v>
      </c>
      <c r="J153">
        <v>220.43499461847173</v>
      </c>
      <c r="K153">
        <v>3299.1290859999999</v>
      </c>
      <c r="L153" t="s">
        <v>2</v>
      </c>
      <c r="M153" t="s">
        <v>33</v>
      </c>
      <c r="O153">
        <v>391</v>
      </c>
      <c r="P153" t="s">
        <v>29</v>
      </c>
      <c r="Q153">
        <v>220.43499461847173</v>
      </c>
      <c r="R153">
        <v>3299.1290859999999</v>
      </c>
      <c r="S153" t="s">
        <v>2</v>
      </c>
      <c r="T153" t="s">
        <v>33</v>
      </c>
      <c r="W153" t="s">
        <v>91</v>
      </c>
      <c r="X153" t="s">
        <v>91</v>
      </c>
      <c r="AN153" t="s">
        <v>158</v>
      </c>
      <c r="AO153" t="s">
        <v>176</v>
      </c>
      <c r="AP153" t="s">
        <v>111</v>
      </c>
      <c r="AQ153" t="s">
        <v>113</v>
      </c>
      <c r="AR153" t="s">
        <v>177</v>
      </c>
      <c r="AS153" t="s">
        <v>178</v>
      </c>
      <c r="AT153" t="s">
        <v>179</v>
      </c>
      <c r="AU153" t="s">
        <v>180</v>
      </c>
      <c r="AV153" t="s">
        <v>180</v>
      </c>
    </row>
    <row r="154" spans="1:48" x14ac:dyDescent="0.2">
      <c r="A154">
        <v>392</v>
      </c>
      <c r="B154" t="s">
        <v>35</v>
      </c>
      <c r="C154">
        <v>144.0745136181209</v>
      </c>
      <c r="D154">
        <v>2659.660799888507</v>
      </c>
      <c r="E154" t="s">
        <v>2</v>
      </c>
      <c r="F154" t="s">
        <v>27</v>
      </c>
      <c r="H154">
        <v>392</v>
      </c>
      <c r="I154" t="s">
        <v>35</v>
      </c>
      <c r="J154">
        <v>144.0745136181209</v>
      </c>
      <c r="K154">
        <v>2659.6608000000001</v>
      </c>
      <c r="L154" t="s">
        <v>2</v>
      </c>
      <c r="M154" t="s">
        <v>27</v>
      </c>
      <c r="O154">
        <v>392</v>
      </c>
      <c r="P154" t="s">
        <v>35</v>
      </c>
      <c r="Q154">
        <v>144.0745136181209</v>
      </c>
      <c r="R154">
        <v>2659.6608000000001</v>
      </c>
      <c r="S154" t="s">
        <v>2</v>
      </c>
      <c r="T154" t="s">
        <v>27</v>
      </c>
      <c r="W154" t="s">
        <v>69</v>
      </c>
      <c r="X154">
        <v>148.69085000000001</v>
      </c>
      <c r="AD154" t="s">
        <v>122</v>
      </c>
      <c r="AN154" t="s">
        <v>29</v>
      </c>
      <c r="AO154" t="s">
        <v>35</v>
      </c>
      <c r="AP154">
        <v>18.71266</v>
      </c>
      <c r="AQ154">
        <v>5.7692480000000002</v>
      </c>
      <c r="AR154">
        <v>5.0631399999999998</v>
      </c>
      <c r="AS154">
        <v>32.362180000000002</v>
      </c>
      <c r="AT154">
        <v>4.1000000000000003E-3</v>
      </c>
      <c r="AU154" t="s">
        <v>227</v>
      </c>
      <c r="AV154" t="s">
        <v>227</v>
      </c>
    </row>
    <row r="155" spans="1:48" x14ac:dyDescent="0.2">
      <c r="A155">
        <v>394</v>
      </c>
      <c r="B155" t="s">
        <v>29</v>
      </c>
      <c r="C155">
        <v>145.30745035415208</v>
      </c>
      <c r="D155">
        <v>51935.003432330806</v>
      </c>
      <c r="E155" t="s">
        <v>3</v>
      </c>
      <c r="F155" t="s">
        <v>33</v>
      </c>
      <c r="H155">
        <v>394</v>
      </c>
      <c r="I155" t="s">
        <v>29</v>
      </c>
      <c r="J155">
        <v>145.30745035415208</v>
      </c>
      <c r="K155">
        <v>51935.003429999997</v>
      </c>
      <c r="L155" t="s">
        <v>3</v>
      </c>
      <c r="M155" t="s">
        <v>33</v>
      </c>
      <c r="O155">
        <v>394</v>
      </c>
      <c r="P155" t="s">
        <v>29</v>
      </c>
      <c r="Q155">
        <v>145.30745035415208</v>
      </c>
      <c r="R155">
        <v>51935.003429999997</v>
      </c>
      <c r="S155" t="s">
        <v>3</v>
      </c>
      <c r="T155" t="s">
        <v>33</v>
      </c>
      <c r="W155" t="s">
        <v>92</v>
      </c>
      <c r="X155">
        <v>31.91461</v>
      </c>
      <c r="AB155" t="s">
        <v>91</v>
      </c>
      <c r="AN155" t="s">
        <v>29</v>
      </c>
      <c r="AO155" t="s">
        <v>25</v>
      </c>
      <c r="AP155">
        <v>11.56495</v>
      </c>
      <c r="AQ155">
        <v>5.9916419999999997</v>
      </c>
      <c r="AR155">
        <v>-2.6107399999999998</v>
      </c>
      <c r="AS155">
        <v>25.740639999999999</v>
      </c>
      <c r="AT155">
        <v>0.1336</v>
      </c>
      <c r="AU155" t="s">
        <v>228</v>
      </c>
      <c r="AV155" t="s">
        <v>228</v>
      </c>
    </row>
    <row r="156" spans="1:48" x14ac:dyDescent="0.2">
      <c r="A156">
        <v>401</v>
      </c>
      <c r="B156" t="s">
        <v>25</v>
      </c>
      <c r="C156" s="23">
        <v>529.96878750632402</v>
      </c>
      <c r="D156">
        <v>1319.9971633640373</v>
      </c>
      <c r="E156" t="s">
        <v>2</v>
      </c>
      <c r="F156" t="s">
        <v>33</v>
      </c>
      <c r="H156">
        <v>401</v>
      </c>
      <c r="I156" t="s">
        <v>25</v>
      </c>
      <c r="K156">
        <v>1319.997163</v>
      </c>
      <c r="L156" t="s">
        <v>2</v>
      </c>
      <c r="M156" t="s">
        <v>33</v>
      </c>
      <c r="O156">
        <v>401</v>
      </c>
      <c r="P156" t="s">
        <v>25</v>
      </c>
      <c r="R156">
        <v>1319.997163</v>
      </c>
      <c r="S156" t="s">
        <v>2</v>
      </c>
      <c r="T156" t="s">
        <v>33</v>
      </c>
      <c r="W156" t="s">
        <v>93</v>
      </c>
      <c r="X156">
        <v>5.1104276000000004</v>
      </c>
      <c r="AD156" t="s">
        <v>107</v>
      </c>
      <c r="AN156" t="s">
        <v>25</v>
      </c>
      <c r="AO156" t="s">
        <v>35</v>
      </c>
      <c r="AP156">
        <v>7.14771</v>
      </c>
      <c r="AQ156">
        <v>6.4013299999999997</v>
      </c>
      <c r="AR156">
        <v>-7.9972599999999998</v>
      </c>
      <c r="AS156">
        <v>22.292680000000001</v>
      </c>
      <c r="AT156">
        <v>0.50529999999999997</v>
      </c>
      <c r="AU156" t="s">
        <v>229</v>
      </c>
      <c r="AV156" t="s">
        <v>229</v>
      </c>
    </row>
    <row r="157" spans="1:48" x14ac:dyDescent="0.2">
      <c r="A157">
        <v>403</v>
      </c>
      <c r="B157" t="s">
        <v>25</v>
      </c>
      <c r="C157">
        <v>141.4114762101008</v>
      </c>
      <c r="D157">
        <v>14594.398926871592</v>
      </c>
      <c r="E157" t="s">
        <v>3</v>
      </c>
      <c r="F157" t="s">
        <v>27</v>
      </c>
      <c r="H157">
        <v>403</v>
      </c>
      <c r="I157" t="s">
        <v>25</v>
      </c>
      <c r="J157">
        <v>141.4114762101008</v>
      </c>
      <c r="K157">
        <v>14594.398929999999</v>
      </c>
      <c r="L157" t="s">
        <v>3</v>
      </c>
      <c r="M157" t="s">
        <v>27</v>
      </c>
      <c r="O157">
        <v>403</v>
      </c>
      <c r="P157" t="s">
        <v>25</v>
      </c>
      <c r="Q157">
        <v>141.4114762101008</v>
      </c>
      <c r="R157">
        <v>14594.398929999999</v>
      </c>
      <c r="S157" t="s">
        <v>3</v>
      </c>
      <c r="T157" t="s">
        <v>27</v>
      </c>
      <c r="W157" t="s">
        <v>94</v>
      </c>
      <c r="X157">
        <v>159.03637000000001</v>
      </c>
      <c r="AD157">
        <v>2</v>
      </c>
    </row>
    <row r="158" spans="1:48" x14ac:dyDescent="0.2">
      <c r="A158">
        <v>405</v>
      </c>
      <c r="B158" t="s">
        <v>35</v>
      </c>
      <c r="C158">
        <v>108.76246972916165</v>
      </c>
      <c r="D158">
        <v>2144.6605848506319</v>
      </c>
      <c r="E158" t="s">
        <v>2</v>
      </c>
      <c r="F158" t="s">
        <v>27</v>
      </c>
      <c r="H158">
        <v>405</v>
      </c>
      <c r="I158" t="s">
        <v>35</v>
      </c>
      <c r="J158">
        <v>108.76246972916165</v>
      </c>
      <c r="K158">
        <v>2144.6605850000001</v>
      </c>
      <c r="L158" t="s">
        <v>2</v>
      </c>
      <c r="M158" t="s">
        <v>27</v>
      </c>
      <c r="O158">
        <v>405</v>
      </c>
      <c r="P158" t="s">
        <v>35</v>
      </c>
      <c r="Q158">
        <v>108.76246972916165</v>
      </c>
      <c r="R158">
        <v>2144.6605850000001</v>
      </c>
      <c r="S158" t="s">
        <v>2</v>
      </c>
      <c r="T158" t="s">
        <v>27</v>
      </c>
      <c r="W158" t="s">
        <v>95</v>
      </c>
      <c r="X158">
        <v>138.34532999999999</v>
      </c>
    </row>
    <row r="159" spans="1:48" x14ac:dyDescent="0.2">
      <c r="A159">
        <v>409</v>
      </c>
      <c r="B159" t="s">
        <v>29</v>
      </c>
      <c r="C159">
        <v>185.28210309032761</v>
      </c>
      <c r="D159">
        <v>43936.544121634783</v>
      </c>
      <c r="E159" t="s">
        <v>3</v>
      </c>
      <c r="F159" t="s">
        <v>33</v>
      </c>
      <c r="H159">
        <v>409</v>
      </c>
      <c r="I159" t="s">
        <v>29</v>
      </c>
      <c r="J159">
        <v>185.28210309032761</v>
      </c>
      <c r="K159">
        <v>43936.544119999999</v>
      </c>
      <c r="L159" t="s">
        <v>3</v>
      </c>
      <c r="M159" t="s">
        <v>33</v>
      </c>
      <c r="O159">
        <v>409</v>
      </c>
      <c r="P159" t="s">
        <v>29</v>
      </c>
      <c r="Q159">
        <v>185.28210309032761</v>
      </c>
      <c r="R159">
        <v>43936.544119999999</v>
      </c>
      <c r="S159" t="s">
        <v>3</v>
      </c>
      <c r="T159" t="s">
        <v>33</v>
      </c>
      <c r="W159" t="s">
        <v>96</v>
      </c>
      <c r="X159">
        <v>39</v>
      </c>
    </row>
    <row r="160" spans="1:48" x14ac:dyDescent="0.2">
      <c r="A160">
        <v>413</v>
      </c>
      <c r="B160" t="s">
        <v>25</v>
      </c>
      <c r="C160">
        <v>134.55588983418178</v>
      </c>
      <c r="D160">
        <v>3003.016478041171</v>
      </c>
      <c r="E160" t="s">
        <v>2</v>
      </c>
      <c r="F160" t="s">
        <v>33</v>
      </c>
      <c r="H160">
        <v>413</v>
      </c>
      <c r="I160" t="s">
        <v>25</v>
      </c>
      <c r="J160">
        <v>134.55588983418178</v>
      </c>
      <c r="K160">
        <v>3003.016478</v>
      </c>
      <c r="L160" t="s">
        <v>2</v>
      </c>
      <c r="M160" t="s">
        <v>33</v>
      </c>
      <c r="O160">
        <v>413</v>
      </c>
      <c r="P160" t="s">
        <v>25</v>
      </c>
      <c r="Q160">
        <v>134.55588983418178</v>
      </c>
      <c r="R160">
        <v>3003.016478</v>
      </c>
      <c r="S160" t="s">
        <v>2</v>
      </c>
      <c r="T160" t="s">
        <v>33</v>
      </c>
      <c r="AD160" t="s">
        <v>193</v>
      </c>
    </row>
    <row r="161" spans="1:35" x14ac:dyDescent="0.2">
      <c r="A161">
        <v>417</v>
      </c>
      <c r="B161" t="s">
        <v>35</v>
      </c>
      <c r="C161">
        <v>117.90044198713593</v>
      </c>
      <c r="D161">
        <v>7957.4999042625359</v>
      </c>
      <c r="E161" t="s">
        <v>3</v>
      </c>
      <c r="F161" t="s">
        <v>27</v>
      </c>
      <c r="H161">
        <v>417</v>
      </c>
      <c r="I161" t="s">
        <v>35</v>
      </c>
      <c r="J161">
        <v>117.90044198713593</v>
      </c>
      <c r="K161">
        <v>7957.4999040000002</v>
      </c>
      <c r="L161" t="s">
        <v>3</v>
      </c>
      <c r="M161" t="s">
        <v>27</v>
      </c>
      <c r="O161">
        <v>417</v>
      </c>
      <c r="P161" t="s">
        <v>35</v>
      </c>
      <c r="Q161">
        <v>117.90044198713593</v>
      </c>
      <c r="R161">
        <v>7957.4999040000002</v>
      </c>
      <c r="S161" t="s">
        <v>3</v>
      </c>
      <c r="T161" t="s">
        <v>27</v>
      </c>
    </row>
    <row r="162" spans="1:35" x14ac:dyDescent="0.2">
      <c r="A162">
        <v>418</v>
      </c>
      <c r="B162" t="s">
        <v>35</v>
      </c>
      <c r="C162">
        <v>139.31794930089634</v>
      </c>
      <c r="D162">
        <v>32935.58602443181</v>
      </c>
      <c r="E162" t="s">
        <v>3</v>
      </c>
      <c r="F162" t="s">
        <v>27</v>
      </c>
      <c r="H162">
        <v>418</v>
      </c>
      <c r="I162" t="s">
        <v>35</v>
      </c>
      <c r="J162">
        <v>139.31794930089634</v>
      </c>
      <c r="K162">
        <v>32935.586020000002</v>
      </c>
      <c r="L162" t="s">
        <v>3</v>
      </c>
      <c r="M162" t="s">
        <v>27</v>
      </c>
      <c r="O162">
        <v>418</v>
      </c>
      <c r="P162" t="s">
        <v>35</v>
      </c>
      <c r="Q162">
        <v>139.31794930089634</v>
      </c>
      <c r="R162">
        <v>32935.586020000002</v>
      </c>
      <c r="S162" t="s">
        <v>3</v>
      </c>
      <c r="T162" t="s">
        <v>27</v>
      </c>
      <c r="AD162" t="s">
        <v>158</v>
      </c>
      <c r="AE162" t="s">
        <v>82</v>
      </c>
      <c r="AF162" t="s">
        <v>194</v>
      </c>
      <c r="AG162" t="s">
        <v>195</v>
      </c>
      <c r="AH162" t="s">
        <v>196</v>
      </c>
      <c r="AI162" t="s">
        <v>197</v>
      </c>
    </row>
    <row r="163" spans="1:35" x14ac:dyDescent="0.2">
      <c r="A163">
        <v>421</v>
      </c>
      <c r="B163" t="s">
        <v>25</v>
      </c>
      <c r="C163">
        <v>93.560506138290009</v>
      </c>
      <c r="D163">
        <v>14797.49900054007</v>
      </c>
      <c r="E163" t="s">
        <v>3</v>
      </c>
      <c r="F163" t="s">
        <v>33</v>
      </c>
      <c r="H163">
        <v>421</v>
      </c>
      <c r="I163" t="s">
        <v>25</v>
      </c>
      <c r="J163">
        <v>93.560506138290009</v>
      </c>
      <c r="K163">
        <v>14797.499</v>
      </c>
      <c r="L163" t="s">
        <v>3</v>
      </c>
      <c r="M163" t="s">
        <v>33</v>
      </c>
      <c r="O163">
        <v>421</v>
      </c>
      <c r="P163" t="s">
        <v>25</v>
      </c>
      <c r="Q163">
        <v>93.560506138290009</v>
      </c>
      <c r="R163">
        <v>14797.499</v>
      </c>
      <c r="S163" t="s">
        <v>3</v>
      </c>
      <c r="T163" t="s">
        <v>33</v>
      </c>
      <c r="AD163" t="s">
        <v>2</v>
      </c>
      <c r="AE163">
        <v>24</v>
      </c>
      <c r="AF163">
        <v>478</v>
      </c>
      <c r="AG163">
        <v>612</v>
      </c>
      <c r="AH163">
        <v>19.916699999999999</v>
      </c>
      <c r="AI163">
        <v>-2.5920000000000001</v>
      </c>
    </row>
    <row r="164" spans="1:35" x14ac:dyDescent="0.2">
      <c r="A164">
        <v>423</v>
      </c>
      <c r="B164" t="s">
        <v>29</v>
      </c>
      <c r="C164" s="23">
        <v>262.28279510486243</v>
      </c>
      <c r="D164">
        <v>2438.6419241943795</v>
      </c>
      <c r="E164" t="s">
        <v>2</v>
      </c>
      <c r="F164" t="s">
        <v>27</v>
      </c>
      <c r="H164">
        <v>423</v>
      </c>
      <c r="I164" t="s">
        <v>29</v>
      </c>
      <c r="K164">
        <v>2438.641924</v>
      </c>
      <c r="L164" t="s">
        <v>2</v>
      </c>
      <c r="M164" t="s">
        <v>27</v>
      </c>
      <c r="O164">
        <v>423</v>
      </c>
      <c r="P164" t="s">
        <v>29</v>
      </c>
      <c r="R164">
        <v>2438.641924</v>
      </c>
      <c r="S164" t="s">
        <v>2</v>
      </c>
      <c r="T164" t="s">
        <v>27</v>
      </c>
      <c r="W164" t="s">
        <v>97</v>
      </c>
      <c r="AD164" t="s">
        <v>3</v>
      </c>
      <c r="AE164">
        <v>26</v>
      </c>
      <c r="AF164">
        <v>797</v>
      </c>
      <c r="AG164">
        <v>663</v>
      </c>
      <c r="AH164">
        <v>30.6538</v>
      </c>
      <c r="AI164">
        <v>2.5920000000000001</v>
      </c>
    </row>
    <row r="165" spans="1:35" x14ac:dyDescent="0.2">
      <c r="A165">
        <v>425</v>
      </c>
      <c r="B165" t="s">
        <v>35</v>
      </c>
      <c r="C165">
        <v>95.890438067553006</v>
      </c>
      <c r="D165">
        <v>773.6950076729172</v>
      </c>
      <c r="E165" t="s">
        <v>2</v>
      </c>
      <c r="F165" t="s">
        <v>27</v>
      </c>
      <c r="H165">
        <v>425</v>
      </c>
      <c r="I165" t="s">
        <v>35</v>
      </c>
      <c r="J165">
        <v>95.890438067553006</v>
      </c>
      <c r="K165">
        <v>773.69500770000002</v>
      </c>
      <c r="L165" t="s">
        <v>2</v>
      </c>
      <c r="M165" t="s">
        <v>27</v>
      </c>
      <c r="O165">
        <v>425</v>
      </c>
      <c r="P165" t="s">
        <v>35</v>
      </c>
      <c r="Q165">
        <v>95.890438067553006</v>
      </c>
      <c r="R165">
        <v>773.69500770000002</v>
      </c>
      <c r="S165" t="s">
        <v>2</v>
      </c>
      <c r="T165" t="s">
        <v>27</v>
      </c>
    </row>
    <row r="166" spans="1:35" x14ac:dyDescent="0.2">
      <c r="A166">
        <v>429</v>
      </c>
      <c r="B166" t="s">
        <v>29</v>
      </c>
      <c r="C166">
        <v>176.56112519162514</v>
      </c>
      <c r="D166">
        <v>86923.818131191219</v>
      </c>
      <c r="E166" t="s">
        <v>3</v>
      </c>
      <c r="F166" t="s">
        <v>33</v>
      </c>
      <c r="H166">
        <v>429</v>
      </c>
      <c r="I166" t="s">
        <v>29</v>
      </c>
      <c r="J166">
        <v>176.56112519162514</v>
      </c>
      <c r="K166">
        <v>86923.81813</v>
      </c>
      <c r="L166" t="s">
        <v>3</v>
      </c>
      <c r="M166" t="s">
        <v>33</v>
      </c>
      <c r="O166">
        <v>429</v>
      </c>
      <c r="P166" t="s">
        <v>29</v>
      </c>
      <c r="Q166">
        <v>176.56112519162514</v>
      </c>
      <c r="R166">
        <v>86923.81813</v>
      </c>
      <c r="S166" t="s">
        <v>3</v>
      </c>
      <c r="T166" t="s">
        <v>33</v>
      </c>
    </row>
    <row r="167" spans="1:35" x14ac:dyDescent="0.2">
      <c r="A167">
        <v>436</v>
      </c>
      <c r="B167" t="s">
        <v>35</v>
      </c>
      <c r="C167">
        <v>167.94496597519384</v>
      </c>
      <c r="D167">
        <v>32985.300108160242</v>
      </c>
      <c r="E167" t="s">
        <v>3</v>
      </c>
      <c r="F167" t="s">
        <v>27</v>
      </c>
      <c r="H167">
        <v>436</v>
      </c>
      <c r="I167" t="s">
        <v>35</v>
      </c>
      <c r="J167">
        <v>167.94496597519384</v>
      </c>
      <c r="K167">
        <v>32985.300109999996</v>
      </c>
      <c r="L167" t="s">
        <v>3</v>
      </c>
      <c r="M167" t="s">
        <v>27</v>
      </c>
      <c r="O167">
        <v>436</v>
      </c>
      <c r="P167" t="s">
        <v>35</v>
      </c>
      <c r="Q167">
        <v>167.94496597519384</v>
      </c>
      <c r="R167">
        <v>32985.300109999996</v>
      </c>
      <c r="S167" t="s">
        <v>3</v>
      </c>
      <c r="T167" t="s">
        <v>27</v>
      </c>
      <c r="W167" t="s">
        <v>269</v>
      </c>
    </row>
    <row r="168" spans="1:35" x14ac:dyDescent="0.2">
      <c r="A168">
        <v>441</v>
      </c>
      <c r="B168" t="s">
        <v>29</v>
      </c>
      <c r="C168">
        <v>128.24312518436676</v>
      </c>
      <c r="D168">
        <v>4354.2859421789681</v>
      </c>
      <c r="E168" t="s">
        <v>2</v>
      </c>
      <c r="F168" t="s">
        <v>33</v>
      </c>
      <c r="H168">
        <v>441</v>
      </c>
      <c r="I168" t="s">
        <v>29</v>
      </c>
      <c r="J168">
        <v>128.24312518436676</v>
      </c>
      <c r="K168">
        <v>4354.2859420000004</v>
      </c>
      <c r="L168" t="s">
        <v>2</v>
      </c>
      <c r="M168" t="s">
        <v>33</v>
      </c>
      <c r="O168">
        <v>441</v>
      </c>
      <c r="P168" t="s">
        <v>29</v>
      </c>
      <c r="Q168">
        <v>128.24312518436676</v>
      </c>
      <c r="R168">
        <v>4354.2859420000004</v>
      </c>
      <c r="S168" t="s">
        <v>2</v>
      </c>
      <c r="T168" t="s">
        <v>33</v>
      </c>
    </row>
    <row r="169" spans="1:35" x14ac:dyDescent="0.2">
      <c r="A169">
        <v>442</v>
      </c>
      <c r="B169" t="s">
        <v>35</v>
      </c>
      <c r="C169">
        <v>126.93964465609409</v>
      </c>
      <c r="D169">
        <v>1725.0727540487001</v>
      </c>
      <c r="E169" t="s">
        <v>2</v>
      </c>
      <c r="F169" t="s">
        <v>27</v>
      </c>
      <c r="H169">
        <v>442</v>
      </c>
      <c r="I169" t="s">
        <v>35</v>
      </c>
      <c r="J169">
        <v>126.93964465609409</v>
      </c>
      <c r="K169">
        <v>1725.072754</v>
      </c>
      <c r="L169" t="s">
        <v>2</v>
      </c>
      <c r="M169" t="s">
        <v>27</v>
      </c>
      <c r="O169">
        <v>442</v>
      </c>
      <c r="P169" t="s">
        <v>35</v>
      </c>
      <c r="Q169">
        <v>126.93964465609409</v>
      </c>
      <c r="R169">
        <v>1725.072754</v>
      </c>
      <c r="S169" t="s">
        <v>2</v>
      </c>
      <c r="T169" t="s">
        <v>27</v>
      </c>
      <c r="W169" t="s">
        <v>270</v>
      </c>
      <c r="X169" t="s">
        <v>271</v>
      </c>
      <c r="Y169" t="s">
        <v>272</v>
      </c>
      <c r="Z169" t="s">
        <v>161</v>
      </c>
      <c r="AA169" t="s">
        <v>162</v>
      </c>
      <c r="AD169" t="s">
        <v>203</v>
      </c>
    </row>
    <row r="170" spans="1:35" x14ac:dyDescent="0.2">
      <c r="A170">
        <v>450</v>
      </c>
      <c r="B170" t="s">
        <v>29</v>
      </c>
      <c r="C170">
        <v>156.46081069896536</v>
      </c>
      <c r="D170">
        <v>902.51862195526905</v>
      </c>
      <c r="E170" t="s">
        <v>2</v>
      </c>
      <c r="F170" t="s">
        <v>33</v>
      </c>
      <c r="H170">
        <v>450</v>
      </c>
      <c r="I170" t="s">
        <v>29</v>
      </c>
      <c r="J170">
        <v>156.46081069896536</v>
      </c>
      <c r="K170">
        <v>902.51862200000005</v>
      </c>
      <c r="L170" t="s">
        <v>2</v>
      </c>
      <c r="M170" t="s">
        <v>33</v>
      </c>
      <c r="O170">
        <v>450</v>
      </c>
      <c r="P170" t="s">
        <v>29</v>
      </c>
      <c r="Q170">
        <v>156.46081069896536</v>
      </c>
      <c r="R170">
        <v>902.51862200000005</v>
      </c>
      <c r="S170" t="s">
        <v>2</v>
      </c>
      <c r="T170" t="s">
        <v>33</v>
      </c>
      <c r="W170" t="s">
        <v>273</v>
      </c>
      <c r="X170" t="s">
        <v>274</v>
      </c>
      <c r="Y170">
        <v>148.69085000000001</v>
      </c>
      <c r="Z170">
        <v>138.34532999999999</v>
      </c>
      <c r="AA170">
        <v>159.03637000000001</v>
      </c>
    </row>
    <row r="171" spans="1:35" x14ac:dyDescent="0.2">
      <c r="A171">
        <v>456</v>
      </c>
      <c r="B171" t="s">
        <v>25</v>
      </c>
      <c r="C171">
        <v>133.35321435671793</v>
      </c>
      <c r="D171">
        <v>21914.813134766817</v>
      </c>
      <c r="E171" t="s">
        <v>3</v>
      </c>
      <c r="F171" t="s">
        <v>33</v>
      </c>
      <c r="H171">
        <v>456</v>
      </c>
      <c r="I171" t="s">
        <v>25</v>
      </c>
      <c r="J171">
        <v>133.35321435671793</v>
      </c>
      <c r="K171">
        <v>21914.813129999999</v>
      </c>
      <c r="L171" t="s">
        <v>3</v>
      </c>
      <c r="M171" t="s">
        <v>33</v>
      </c>
      <c r="O171">
        <v>456</v>
      </c>
      <c r="P171" t="s">
        <v>25</v>
      </c>
      <c r="Q171">
        <v>133.35321435671793</v>
      </c>
      <c r="R171">
        <v>21914.813129999999</v>
      </c>
      <c r="S171" t="s">
        <v>3</v>
      </c>
      <c r="T171" t="s">
        <v>33</v>
      </c>
      <c r="W171" t="s">
        <v>275</v>
      </c>
      <c r="X171" t="s">
        <v>276</v>
      </c>
      <c r="Y171">
        <v>31.91461</v>
      </c>
      <c r="Z171">
        <v>26.082084999999999</v>
      </c>
      <c r="AA171">
        <v>41.130854999999997</v>
      </c>
      <c r="AD171" t="s">
        <v>204</v>
      </c>
      <c r="AE171" t="s">
        <v>205</v>
      </c>
      <c r="AF171" t="s">
        <v>206</v>
      </c>
    </row>
    <row r="172" spans="1:35" x14ac:dyDescent="0.2">
      <c r="A172">
        <v>458</v>
      </c>
      <c r="B172" t="s">
        <v>25</v>
      </c>
      <c r="C172">
        <v>154.16456457795823</v>
      </c>
      <c r="D172">
        <v>1098.0662194435238</v>
      </c>
      <c r="E172" t="s">
        <v>2</v>
      </c>
      <c r="F172" t="s">
        <v>33</v>
      </c>
      <c r="H172">
        <v>458</v>
      </c>
      <c r="I172" t="s">
        <v>25</v>
      </c>
      <c r="J172">
        <v>154.16456457795823</v>
      </c>
      <c r="K172">
        <v>1098.066219</v>
      </c>
      <c r="L172" t="s">
        <v>2</v>
      </c>
      <c r="M172" t="s">
        <v>33</v>
      </c>
      <c r="O172">
        <v>458</v>
      </c>
      <c r="P172" t="s">
        <v>25</v>
      </c>
      <c r="Q172">
        <v>154.16456457795823</v>
      </c>
      <c r="R172">
        <v>1098.066219</v>
      </c>
      <c r="S172" t="s">
        <v>2</v>
      </c>
      <c r="T172" t="s">
        <v>33</v>
      </c>
      <c r="AD172">
        <v>478</v>
      </c>
      <c r="AE172">
        <v>-2.5923600000000002</v>
      </c>
      <c r="AF172">
        <v>9.4999999999999998E-3</v>
      </c>
    </row>
    <row r="173" spans="1:35" x14ac:dyDescent="0.2">
      <c r="A173">
        <v>459</v>
      </c>
      <c r="B173" t="s">
        <v>25</v>
      </c>
      <c r="C173">
        <v>149.42951190590591</v>
      </c>
      <c r="D173">
        <v>2482.7127095377132</v>
      </c>
      <c r="E173" t="s">
        <v>2</v>
      </c>
      <c r="F173" t="s">
        <v>33</v>
      </c>
      <c r="H173">
        <v>459</v>
      </c>
      <c r="I173" t="s">
        <v>25</v>
      </c>
      <c r="J173">
        <v>149.42951190590591</v>
      </c>
      <c r="K173">
        <v>2482.7127099999998</v>
      </c>
      <c r="L173" t="s">
        <v>2</v>
      </c>
      <c r="M173" t="s">
        <v>33</v>
      </c>
      <c r="O173">
        <v>459</v>
      </c>
      <c r="P173" t="s">
        <v>25</v>
      </c>
      <c r="Q173">
        <v>149.42951190590591</v>
      </c>
      <c r="R173">
        <v>2482.7127099999998</v>
      </c>
      <c r="S173" t="s">
        <v>2</v>
      </c>
      <c r="T173" t="s">
        <v>33</v>
      </c>
    </row>
    <row r="174" spans="1:35" x14ac:dyDescent="0.2">
      <c r="A174">
        <v>466</v>
      </c>
      <c r="B174" t="s">
        <v>29</v>
      </c>
      <c r="C174">
        <v>89.094331699928517</v>
      </c>
      <c r="D174">
        <v>3648.3687241268949</v>
      </c>
      <c r="E174" t="s">
        <v>2</v>
      </c>
      <c r="F174" t="s">
        <v>33</v>
      </c>
      <c r="H174">
        <v>466</v>
      </c>
      <c r="I174" t="s">
        <v>29</v>
      </c>
      <c r="J174">
        <v>89.094331699928517</v>
      </c>
      <c r="K174">
        <v>3648.3687239999999</v>
      </c>
      <c r="L174" t="s">
        <v>2</v>
      </c>
      <c r="M174" t="s">
        <v>33</v>
      </c>
      <c r="O174">
        <v>466</v>
      </c>
      <c r="P174" t="s">
        <v>29</v>
      </c>
      <c r="Q174">
        <v>89.094331699928517</v>
      </c>
      <c r="R174">
        <v>3648.3687239999999</v>
      </c>
      <c r="S174" t="s">
        <v>2</v>
      </c>
      <c r="T174" t="s">
        <v>33</v>
      </c>
      <c r="W174" t="s">
        <v>280</v>
      </c>
    </row>
    <row r="177" spans="1:32" x14ac:dyDescent="0.2">
      <c r="AD177" t="s">
        <v>198</v>
      </c>
    </row>
    <row r="178" spans="1:32" x14ac:dyDescent="0.2">
      <c r="W178" t="s">
        <v>98</v>
      </c>
    </row>
    <row r="179" spans="1:32" x14ac:dyDescent="0.2">
      <c r="W179" t="s">
        <v>99</v>
      </c>
      <c r="AD179" t="s">
        <v>199</v>
      </c>
      <c r="AE179" t="s">
        <v>114</v>
      </c>
      <c r="AF179" t="s">
        <v>200</v>
      </c>
    </row>
    <row r="180" spans="1:32" x14ac:dyDescent="0.2">
      <c r="AD180">
        <v>6.7706999999999997</v>
      </c>
      <c r="AE180">
        <v>1</v>
      </c>
      <c r="AF180" s="23">
        <v>9.2999999999999992E-3</v>
      </c>
    </row>
    <row r="182" spans="1:32" x14ac:dyDescent="0.2">
      <c r="W182" t="s">
        <v>35</v>
      </c>
      <c r="X182" t="s">
        <v>91</v>
      </c>
      <c r="Y182" t="s">
        <v>100</v>
      </c>
    </row>
    <row r="183" spans="1:32" x14ac:dyDescent="0.2">
      <c r="W183">
        <v>0.92403199999999996</v>
      </c>
      <c r="X183" t="s">
        <v>91</v>
      </c>
      <c r="Y183">
        <v>1.1599999999999999E-2</v>
      </c>
    </row>
    <row r="184" spans="1:32" x14ac:dyDescent="0.2">
      <c r="A184" s="9"/>
    </row>
    <row r="186" spans="1:32" x14ac:dyDescent="0.2">
      <c r="W186" t="s">
        <v>278</v>
      </c>
    </row>
    <row r="190" spans="1:32" x14ac:dyDescent="0.2">
      <c r="W190" t="s">
        <v>102</v>
      </c>
    </row>
    <row r="193" spans="23:24" x14ac:dyDescent="0.2">
      <c r="W193" t="s">
        <v>57</v>
      </c>
    </row>
    <row r="195" spans="23:24" x14ac:dyDescent="0.2">
      <c r="W195" t="s">
        <v>281</v>
      </c>
    </row>
    <row r="200" spans="23:24" x14ac:dyDescent="0.2">
      <c r="W200" t="s">
        <v>90</v>
      </c>
    </row>
    <row r="202" spans="23:24" x14ac:dyDescent="0.2">
      <c r="W202" t="s">
        <v>91</v>
      </c>
      <c r="X202" t="s">
        <v>91</v>
      </c>
    </row>
    <row r="203" spans="23:24" x14ac:dyDescent="0.2">
      <c r="W203" t="s">
        <v>69</v>
      </c>
      <c r="X203">
        <v>132.46804</v>
      </c>
    </row>
    <row r="204" spans="23:24" x14ac:dyDescent="0.2">
      <c r="W204" t="s">
        <v>92</v>
      </c>
      <c r="X204">
        <v>26.169667</v>
      </c>
    </row>
    <row r="205" spans="23:24" x14ac:dyDescent="0.2">
      <c r="W205" t="s">
        <v>93</v>
      </c>
      <c r="X205">
        <v>6.0037333999999998</v>
      </c>
    </row>
    <row r="206" spans="23:24" x14ac:dyDescent="0.2">
      <c r="W206" t="s">
        <v>94</v>
      </c>
      <c r="X206">
        <v>145.08142000000001</v>
      </c>
    </row>
    <row r="207" spans="23:24" x14ac:dyDescent="0.2">
      <c r="W207" t="s">
        <v>95</v>
      </c>
      <c r="X207">
        <v>119.85467</v>
      </c>
    </row>
    <row r="208" spans="23:24" x14ac:dyDescent="0.2">
      <c r="W208" t="s">
        <v>96</v>
      </c>
      <c r="X208">
        <v>19</v>
      </c>
    </row>
    <row r="213" spans="23:27" x14ac:dyDescent="0.2">
      <c r="W213" t="s">
        <v>97</v>
      </c>
    </row>
    <row r="216" spans="23:27" x14ac:dyDescent="0.2">
      <c r="W216" t="s">
        <v>269</v>
      </c>
    </row>
    <row r="218" spans="23:27" x14ac:dyDescent="0.2">
      <c r="W218" t="s">
        <v>270</v>
      </c>
      <c r="X218" t="s">
        <v>271</v>
      </c>
      <c r="Y218" t="s">
        <v>272</v>
      </c>
      <c r="Z218" t="s">
        <v>161</v>
      </c>
      <c r="AA218" t="s">
        <v>162</v>
      </c>
    </row>
    <row r="219" spans="23:27" x14ac:dyDescent="0.2">
      <c r="W219" t="s">
        <v>273</v>
      </c>
      <c r="X219" t="s">
        <v>274</v>
      </c>
      <c r="Y219">
        <v>132.46804</v>
      </c>
      <c r="Z219">
        <v>119.85467</v>
      </c>
      <c r="AA219">
        <v>145.08142000000001</v>
      </c>
    </row>
    <row r="220" spans="23:27" x14ac:dyDescent="0.2">
      <c r="W220" t="s">
        <v>275</v>
      </c>
      <c r="X220" t="s">
        <v>276</v>
      </c>
      <c r="Y220">
        <v>26.169667</v>
      </c>
      <c r="Z220">
        <v>19.774131000000001</v>
      </c>
      <c r="AA220">
        <v>38.700346000000003</v>
      </c>
    </row>
    <row r="223" spans="23:27" x14ac:dyDescent="0.2">
      <c r="W223" t="s">
        <v>282</v>
      </c>
    </row>
    <row r="227" spans="23:25" x14ac:dyDescent="0.2">
      <c r="W227" t="s">
        <v>98</v>
      </c>
    </row>
    <row r="228" spans="23:25" x14ac:dyDescent="0.2">
      <c r="W228" t="s">
        <v>99</v>
      </c>
    </row>
    <row r="231" spans="23:25" x14ac:dyDescent="0.2">
      <c r="W231" t="s">
        <v>35</v>
      </c>
      <c r="X231" t="s">
        <v>91</v>
      </c>
      <c r="Y231" t="s">
        <v>100</v>
      </c>
    </row>
    <row r="232" spans="23:25" x14ac:dyDescent="0.2">
      <c r="W232">
        <v>0.97165500000000005</v>
      </c>
      <c r="X232" t="s">
        <v>91</v>
      </c>
      <c r="Y232">
        <v>0.80900000000000005</v>
      </c>
    </row>
    <row r="235" spans="23:25" x14ac:dyDescent="0.2">
      <c r="W235" t="s">
        <v>278</v>
      </c>
    </row>
    <row r="239" spans="23:25" x14ac:dyDescent="0.2">
      <c r="W239" t="s">
        <v>103</v>
      </c>
    </row>
    <row r="242" spans="23:24" x14ac:dyDescent="0.2">
      <c r="W242" t="s">
        <v>57</v>
      </c>
    </row>
    <row r="244" spans="23:24" x14ac:dyDescent="0.2">
      <c r="W244" t="s">
        <v>283</v>
      </c>
    </row>
    <row r="249" spans="23:24" x14ac:dyDescent="0.2">
      <c r="W249" t="s">
        <v>90</v>
      </c>
    </row>
    <row r="251" spans="23:24" x14ac:dyDescent="0.2">
      <c r="W251" t="s">
        <v>91</v>
      </c>
      <c r="X251" t="s">
        <v>91</v>
      </c>
    </row>
    <row r="252" spans="23:24" x14ac:dyDescent="0.2">
      <c r="W252" t="s">
        <v>69</v>
      </c>
      <c r="X252">
        <v>133.81745000000001</v>
      </c>
    </row>
    <row r="253" spans="23:24" x14ac:dyDescent="0.2">
      <c r="W253" t="s">
        <v>92</v>
      </c>
      <c r="X253">
        <v>38.598115</v>
      </c>
    </row>
    <row r="254" spans="23:24" x14ac:dyDescent="0.2">
      <c r="W254" t="s">
        <v>93</v>
      </c>
      <c r="X254">
        <v>7.7196230999999997</v>
      </c>
    </row>
    <row r="255" spans="23:24" x14ac:dyDescent="0.2">
      <c r="W255" t="s">
        <v>94</v>
      </c>
      <c r="X255">
        <v>149.74996999999999</v>
      </c>
    </row>
    <row r="256" spans="23:24" x14ac:dyDescent="0.2">
      <c r="W256" t="s">
        <v>95</v>
      </c>
      <c r="X256">
        <v>117.88494</v>
      </c>
    </row>
    <row r="257" spans="23:27" x14ac:dyDescent="0.2">
      <c r="W257" t="s">
        <v>96</v>
      </c>
      <c r="X257">
        <v>25</v>
      </c>
    </row>
    <row r="262" spans="23:27" x14ac:dyDescent="0.2">
      <c r="W262" t="s">
        <v>97</v>
      </c>
    </row>
    <row r="265" spans="23:27" x14ac:dyDescent="0.2">
      <c r="W265" t="s">
        <v>269</v>
      </c>
    </row>
    <row r="267" spans="23:27" x14ac:dyDescent="0.2">
      <c r="W267" t="s">
        <v>270</v>
      </c>
      <c r="X267" t="s">
        <v>271</v>
      </c>
      <c r="Y267" t="s">
        <v>272</v>
      </c>
      <c r="Z267" t="s">
        <v>161</v>
      </c>
      <c r="AA267" t="s">
        <v>162</v>
      </c>
    </row>
    <row r="268" spans="23:27" x14ac:dyDescent="0.2">
      <c r="W268" t="s">
        <v>273</v>
      </c>
      <c r="X268" t="s">
        <v>274</v>
      </c>
      <c r="Y268">
        <v>133.81745000000001</v>
      </c>
      <c r="Z268">
        <v>117.88494</v>
      </c>
      <c r="AA268">
        <v>149.74996999999999</v>
      </c>
    </row>
    <row r="269" spans="23:27" x14ac:dyDescent="0.2">
      <c r="W269" t="s">
        <v>275</v>
      </c>
      <c r="X269" t="s">
        <v>276</v>
      </c>
      <c r="Y269">
        <v>38.598115</v>
      </c>
      <c r="Z269">
        <v>30.138503</v>
      </c>
      <c r="AA269">
        <v>53.695852000000002</v>
      </c>
    </row>
    <row r="272" spans="23:27" x14ac:dyDescent="0.2">
      <c r="W272" t="s">
        <v>284</v>
      </c>
    </row>
    <row r="276" spans="23:25" x14ac:dyDescent="0.2">
      <c r="W276" t="s">
        <v>98</v>
      </c>
    </row>
    <row r="277" spans="23:25" x14ac:dyDescent="0.2">
      <c r="W277" t="s">
        <v>99</v>
      </c>
    </row>
    <row r="280" spans="23:25" x14ac:dyDescent="0.2">
      <c r="W280" t="s">
        <v>35</v>
      </c>
      <c r="X280" t="s">
        <v>91</v>
      </c>
      <c r="Y280" t="s">
        <v>100</v>
      </c>
    </row>
    <row r="281" spans="23:25" x14ac:dyDescent="0.2">
      <c r="W281">
        <v>0.94284599999999996</v>
      </c>
      <c r="X281" t="s">
        <v>91</v>
      </c>
      <c r="Y281">
        <v>0.17219999999999999</v>
      </c>
    </row>
    <row r="284" spans="23:25" x14ac:dyDescent="0.2">
      <c r="W284" t="s">
        <v>278</v>
      </c>
    </row>
    <row r="288" spans="23:25" x14ac:dyDescent="0.2">
      <c r="W288" t="s">
        <v>104</v>
      </c>
    </row>
    <row r="291" spans="23:24" x14ac:dyDescent="0.2">
      <c r="W291" t="s">
        <v>57</v>
      </c>
    </row>
    <row r="293" spans="23:24" x14ac:dyDescent="0.2">
      <c r="W293" t="s">
        <v>285</v>
      </c>
    </row>
    <row r="298" spans="23:24" x14ac:dyDescent="0.2">
      <c r="W298" t="s">
        <v>90</v>
      </c>
    </row>
    <row r="300" spans="23:24" x14ac:dyDescent="0.2">
      <c r="W300" t="s">
        <v>91</v>
      </c>
      <c r="X300" t="s">
        <v>91</v>
      </c>
    </row>
    <row r="301" spans="23:24" x14ac:dyDescent="0.2">
      <c r="W301" t="s">
        <v>69</v>
      </c>
      <c r="X301">
        <v>116.38420000000001</v>
      </c>
    </row>
    <row r="302" spans="23:24" x14ac:dyDescent="0.2">
      <c r="W302" t="s">
        <v>92</v>
      </c>
      <c r="X302">
        <v>20.360882</v>
      </c>
    </row>
    <row r="303" spans="23:24" x14ac:dyDescent="0.2">
      <c r="W303" t="s">
        <v>93</v>
      </c>
      <c r="X303">
        <v>4.1561475000000003</v>
      </c>
    </row>
    <row r="304" spans="23:24" x14ac:dyDescent="0.2">
      <c r="W304" t="s">
        <v>94</v>
      </c>
      <c r="X304">
        <v>124.98184000000001</v>
      </c>
    </row>
    <row r="305" spans="23:27" x14ac:dyDescent="0.2">
      <c r="W305" t="s">
        <v>95</v>
      </c>
      <c r="X305">
        <v>107.78655000000001</v>
      </c>
    </row>
    <row r="306" spans="23:27" x14ac:dyDescent="0.2">
      <c r="W306" t="s">
        <v>96</v>
      </c>
      <c r="X306">
        <v>24</v>
      </c>
    </row>
    <row r="311" spans="23:27" x14ac:dyDescent="0.2">
      <c r="W311" t="s">
        <v>97</v>
      </c>
    </row>
    <row r="314" spans="23:27" x14ac:dyDescent="0.2">
      <c r="W314" t="s">
        <v>269</v>
      </c>
    </row>
    <row r="316" spans="23:27" x14ac:dyDescent="0.2">
      <c r="W316" t="s">
        <v>270</v>
      </c>
      <c r="X316" t="s">
        <v>271</v>
      </c>
      <c r="Y316" t="s">
        <v>272</v>
      </c>
      <c r="Z316" t="s">
        <v>161</v>
      </c>
      <c r="AA316" t="s">
        <v>162</v>
      </c>
    </row>
    <row r="317" spans="23:27" x14ac:dyDescent="0.2">
      <c r="W317" t="s">
        <v>273</v>
      </c>
      <c r="X317" t="s">
        <v>274</v>
      </c>
      <c r="Y317">
        <v>116.38420000000001</v>
      </c>
      <c r="Z317">
        <v>107.78655000000001</v>
      </c>
      <c r="AA317">
        <v>124.98184000000001</v>
      </c>
    </row>
    <row r="318" spans="23:27" x14ac:dyDescent="0.2">
      <c r="W318" t="s">
        <v>275</v>
      </c>
      <c r="X318" t="s">
        <v>276</v>
      </c>
      <c r="Y318">
        <v>20.360882</v>
      </c>
      <c r="Z318">
        <v>15.824754</v>
      </c>
      <c r="AA318">
        <v>28.561443000000001</v>
      </c>
    </row>
    <row r="321" spans="23:25" x14ac:dyDescent="0.2">
      <c r="W321" t="s">
        <v>286</v>
      </c>
    </row>
    <row r="325" spans="23:25" x14ac:dyDescent="0.2">
      <c r="W325" t="s">
        <v>98</v>
      </c>
    </row>
    <row r="326" spans="23:25" x14ac:dyDescent="0.2">
      <c r="W326" t="s">
        <v>99</v>
      </c>
    </row>
    <row r="329" spans="23:25" x14ac:dyDescent="0.2">
      <c r="W329" t="s">
        <v>35</v>
      </c>
      <c r="X329" t="s">
        <v>91</v>
      </c>
      <c r="Y329" t="s">
        <v>100</v>
      </c>
    </row>
    <row r="330" spans="23:25" x14ac:dyDescent="0.2">
      <c r="W330">
        <v>0.93776700000000002</v>
      </c>
      <c r="X330" t="s">
        <v>91</v>
      </c>
      <c r="Y330">
        <v>0.1454</v>
      </c>
    </row>
    <row r="333" spans="23:25" x14ac:dyDescent="0.2">
      <c r="W333" t="s">
        <v>278</v>
      </c>
    </row>
    <row r="337" spans="23:24" x14ac:dyDescent="0.2">
      <c r="W337" t="s">
        <v>105</v>
      </c>
    </row>
    <row r="340" spans="23:24" x14ac:dyDescent="0.2">
      <c r="W340" t="s">
        <v>57</v>
      </c>
    </row>
    <row r="342" spans="23:24" x14ac:dyDescent="0.2">
      <c r="W342" t="s">
        <v>287</v>
      </c>
    </row>
    <row r="347" spans="23:24" x14ac:dyDescent="0.2">
      <c r="W347" t="s">
        <v>90</v>
      </c>
    </row>
    <row r="349" spans="23:24" x14ac:dyDescent="0.2">
      <c r="W349" t="s">
        <v>91</v>
      </c>
      <c r="X349" t="s">
        <v>91</v>
      </c>
    </row>
    <row r="350" spans="23:24" x14ac:dyDescent="0.2">
      <c r="W350" t="s">
        <v>69</v>
      </c>
      <c r="X350">
        <v>135.04352</v>
      </c>
    </row>
    <row r="351" spans="23:24" x14ac:dyDescent="0.2">
      <c r="W351" t="s">
        <v>92</v>
      </c>
      <c r="X351">
        <v>26.238320999999999</v>
      </c>
    </row>
    <row r="352" spans="23:24" x14ac:dyDescent="0.2">
      <c r="W352" t="s">
        <v>93</v>
      </c>
      <c r="X352">
        <v>5.1457581000000001</v>
      </c>
    </row>
    <row r="353" spans="23:27" x14ac:dyDescent="0.2">
      <c r="W353" t="s">
        <v>94</v>
      </c>
      <c r="X353">
        <v>145.6414</v>
      </c>
    </row>
    <row r="354" spans="23:27" x14ac:dyDescent="0.2">
      <c r="W354" t="s">
        <v>95</v>
      </c>
      <c r="X354">
        <v>124.44562999999999</v>
      </c>
    </row>
    <row r="355" spans="23:27" x14ac:dyDescent="0.2">
      <c r="W355" t="s">
        <v>96</v>
      </c>
      <c r="X355">
        <v>26</v>
      </c>
    </row>
    <row r="360" spans="23:27" x14ac:dyDescent="0.2">
      <c r="W360" t="s">
        <v>97</v>
      </c>
    </row>
    <row r="363" spans="23:27" x14ac:dyDescent="0.2">
      <c r="W363" t="s">
        <v>269</v>
      </c>
    </row>
    <row r="365" spans="23:27" x14ac:dyDescent="0.2">
      <c r="W365" t="s">
        <v>270</v>
      </c>
      <c r="X365" t="s">
        <v>271</v>
      </c>
      <c r="Y365" t="s">
        <v>272</v>
      </c>
      <c r="Z365" t="s">
        <v>161</v>
      </c>
      <c r="AA365" t="s">
        <v>162</v>
      </c>
    </row>
    <row r="366" spans="23:27" x14ac:dyDescent="0.2">
      <c r="W366" t="s">
        <v>273</v>
      </c>
      <c r="X366" t="s">
        <v>274</v>
      </c>
      <c r="Y366">
        <v>135.04352</v>
      </c>
      <c r="Z366">
        <v>124.44562999999999</v>
      </c>
      <c r="AA366">
        <v>145.6414</v>
      </c>
    </row>
    <row r="367" spans="23:27" x14ac:dyDescent="0.2">
      <c r="W367" t="s">
        <v>275</v>
      </c>
      <c r="X367" t="s">
        <v>276</v>
      </c>
      <c r="Y367">
        <v>26.238320999999999</v>
      </c>
      <c r="Z367">
        <v>20.577596</v>
      </c>
      <c r="AA367">
        <v>36.219608999999998</v>
      </c>
    </row>
    <row r="370" spans="23:25" x14ac:dyDescent="0.2">
      <c r="W370" t="s">
        <v>288</v>
      </c>
    </row>
    <row r="374" spans="23:25" x14ac:dyDescent="0.2">
      <c r="W374" t="s">
        <v>98</v>
      </c>
    </row>
    <row r="375" spans="23:25" x14ac:dyDescent="0.2">
      <c r="W375" t="s">
        <v>99</v>
      </c>
    </row>
    <row r="378" spans="23:25" x14ac:dyDescent="0.2">
      <c r="W378" t="s">
        <v>35</v>
      </c>
      <c r="X378" t="s">
        <v>91</v>
      </c>
      <c r="Y378" t="s">
        <v>100</v>
      </c>
    </row>
    <row r="379" spans="23:25" x14ac:dyDescent="0.2">
      <c r="W379">
        <v>0.98051200000000005</v>
      </c>
      <c r="X379" t="s">
        <v>91</v>
      </c>
      <c r="Y379">
        <v>0.88460000000000005</v>
      </c>
    </row>
    <row r="382" spans="23:25" x14ac:dyDescent="0.2">
      <c r="W382" t="s">
        <v>278</v>
      </c>
    </row>
  </sheetData>
  <sortState xmlns:xlrd2="http://schemas.microsoft.com/office/spreadsheetml/2017/richdata2" ref="O4:T174">
    <sortCondition ref="O4:O174"/>
  </sortState>
  <mergeCells count="3">
    <mergeCell ref="V3:W3"/>
    <mergeCell ref="X3:Y3"/>
    <mergeCell ref="Z3:AA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31"/>
  <sheetViews>
    <sheetView topLeftCell="AA22" workbookViewId="0">
      <selection activeCell="BD6" sqref="BD6"/>
    </sheetView>
  </sheetViews>
  <sheetFormatPr baseColWidth="10" defaultColWidth="8.83203125" defaultRowHeight="15" x14ac:dyDescent="0.2"/>
  <cols>
    <col min="2" max="2" width="10.83203125" customWidth="1"/>
    <col min="3" max="5" width="9.1640625" customWidth="1"/>
    <col min="6" max="6" width="10.33203125" style="12" customWidth="1"/>
    <col min="8" max="8" width="9.1640625"/>
    <col min="19" max="19" width="10.5" customWidth="1"/>
    <col min="20" max="20" width="15" customWidth="1"/>
    <col min="21" max="22" width="14.33203125" customWidth="1"/>
    <col min="23" max="24" width="10.5" customWidth="1"/>
    <col min="25" max="25" width="9.83203125" customWidth="1"/>
    <col min="48" max="48" width="11.5" customWidth="1"/>
  </cols>
  <sheetData>
    <row r="1" spans="1:56" ht="179.25" customHeight="1" x14ac:dyDescent="0.2"/>
    <row r="2" spans="1:56" x14ac:dyDescent="0.2">
      <c r="A2" t="s">
        <v>86</v>
      </c>
      <c r="J2" t="s">
        <v>87</v>
      </c>
    </row>
    <row r="3" spans="1:56" s="18" customFormat="1" ht="64" x14ac:dyDescent="0.2">
      <c r="A3" s="16" t="s">
        <v>6</v>
      </c>
      <c r="B3" s="16" t="s">
        <v>7</v>
      </c>
      <c r="C3" s="16" t="s">
        <v>21</v>
      </c>
      <c r="D3" s="16" t="s">
        <v>17</v>
      </c>
      <c r="E3" s="16" t="s">
        <v>59</v>
      </c>
      <c r="F3" s="17" t="s">
        <v>24</v>
      </c>
      <c r="G3" s="16" t="s">
        <v>60</v>
      </c>
      <c r="H3" s="7" t="s">
        <v>9</v>
      </c>
      <c r="I3" s="7"/>
      <c r="J3" s="16" t="s">
        <v>6</v>
      </c>
      <c r="K3" s="16" t="s">
        <v>7</v>
      </c>
      <c r="L3" s="16" t="s">
        <v>21</v>
      </c>
      <c r="M3" s="16" t="s">
        <v>17</v>
      </c>
      <c r="N3" s="16" t="s">
        <v>59</v>
      </c>
      <c r="O3" s="17" t="s">
        <v>24</v>
      </c>
      <c r="P3" s="16" t="s">
        <v>60</v>
      </c>
      <c r="Q3" s="7" t="s">
        <v>9</v>
      </c>
      <c r="R3" s="7"/>
      <c r="S3" s="19" t="s">
        <v>61</v>
      </c>
      <c r="T3" s="19" t="s">
        <v>62</v>
      </c>
      <c r="U3" s="19" t="s">
        <v>64</v>
      </c>
      <c r="V3" s="19" t="s">
        <v>65</v>
      </c>
      <c r="W3" s="19" t="s">
        <v>66</v>
      </c>
      <c r="X3" s="19" t="s">
        <v>63</v>
      </c>
    </row>
    <row r="4" spans="1:56" x14ac:dyDescent="0.2">
      <c r="A4">
        <v>6</v>
      </c>
      <c r="B4" t="s">
        <v>25</v>
      </c>
      <c r="C4" t="s">
        <v>2</v>
      </c>
      <c r="D4">
        <v>2.1650000000001057E-2</v>
      </c>
      <c r="E4">
        <f t="shared" ref="E4:E35" si="0">D4*1000</f>
        <v>21.650000000001057</v>
      </c>
      <c r="F4" s="12">
        <v>27369.7</v>
      </c>
      <c r="G4">
        <f t="shared" ref="G4:G35" si="1">F4/E4</f>
        <v>1264.1893764433564</v>
      </c>
      <c r="H4" t="s">
        <v>27</v>
      </c>
      <c r="J4">
        <v>6</v>
      </c>
      <c r="K4" t="s">
        <v>25</v>
      </c>
      <c r="L4" t="s">
        <v>2</v>
      </c>
      <c r="M4">
        <v>2.1649999999999999E-2</v>
      </c>
      <c r="N4">
        <v>21.65</v>
      </c>
      <c r="O4">
        <v>27369.7</v>
      </c>
      <c r="P4">
        <v>1264.189376</v>
      </c>
      <c r="Q4" t="s">
        <v>27</v>
      </c>
      <c r="S4">
        <v>1258.622611464911</v>
      </c>
      <c r="T4">
        <v>1264.1893764433564</v>
      </c>
      <c r="U4">
        <v>1826.7848586487441</v>
      </c>
      <c r="V4">
        <v>1615.5634880163077</v>
      </c>
      <c r="W4">
        <v>939.96272630460066</v>
      </c>
      <c r="X4">
        <v>1752.6208378087792</v>
      </c>
      <c r="AV4" t="s">
        <v>1</v>
      </c>
      <c r="AW4" t="s">
        <v>263</v>
      </c>
      <c r="AX4" t="s">
        <v>264</v>
      </c>
      <c r="BD4" t="s">
        <v>4</v>
      </c>
    </row>
    <row r="5" spans="1:56" x14ac:dyDescent="0.2">
      <c r="A5">
        <v>10</v>
      </c>
      <c r="B5" t="s">
        <v>29</v>
      </c>
      <c r="C5" t="s">
        <v>2</v>
      </c>
      <c r="D5">
        <v>1.8620000000000303E-2</v>
      </c>
      <c r="E5">
        <f t="shared" si="0"/>
        <v>18.620000000000303</v>
      </c>
      <c r="F5" s="12">
        <v>32633.8</v>
      </c>
      <c r="G5">
        <f t="shared" si="1"/>
        <v>1752.6208378087792</v>
      </c>
      <c r="H5" t="s">
        <v>27</v>
      </c>
      <c r="J5">
        <v>10</v>
      </c>
      <c r="K5" t="s">
        <v>29</v>
      </c>
      <c r="L5" t="s">
        <v>2</v>
      </c>
      <c r="M5">
        <v>1.8620000000000001E-2</v>
      </c>
      <c r="N5">
        <v>18.62</v>
      </c>
      <c r="O5">
        <v>32633.8</v>
      </c>
      <c r="P5">
        <v>1752.620838</v>
      </c>
      <c r="Q5" t="s">
        <v>27</v>
      </c>
      <c r="S5">
        <v>891.03495233768558</v>
      </c>
      <c r="T5">
        <v>1293.6355183635967</v>
      </c>
      <c r="U5">
        <v>1049.5322731524484</v>
      </c>
      <c r="V5">
        <v>1392.8428669883244</v>
      </c>
      <c r="W5">
        <v>943.55914538830848</v>
      </c>
      <c r="X5">
        <v>1594.1713127218134</v>
      </c>
    </row>
    <row r="6" spans="1:56" x14ac:dyDescent="0.2">
      <c r="A6">
        <v>15</v>
      </c>
      <c r="B6" t="s">
        <v>29</v>
      </c>
      <c r="C6" t="s">
        <v>2</v>
      </c>
      <c r="D6">
        <v>1.9729999999999137E-2</v>
      </c>
      <c r="E6">
        <f t="shared" si="0"/>
        <v>19.729999999999137</v>
      </c>
      <c r="F6" s="12">
        <v>31453</v>
      </c>
      <c r="G6">
        <f t="shared" si="1"/>
        <v>1594.1713127218134</v>
      </c>
      <c r="H6" t="s">
        <v>33</v>
      </c>
      <c r="J6">
        <v>15</v>
      </c>
      <c r="K6" t="s">
        <v>29</v>
      </c>
      <c r="L6" t="s">
        <v>2</v>
      </c>
      <c r="M6">
        <v>1.9730000000000001E-2</v>
      </c>
      <c r="N6">
        <v>19.73</v>
      </c>
      <c r="O6">
        <v>31453</v>
      </c>
      <c r="P6">
        <v>1594.1713130000001</v>
      </c>
      <c r="Q6" t="s">
        <v>33</v>
      </c>
      <c r="S6">
        <v>1921.2933138115627</v>
      </c>
      <c r="T6">
        <v>1170.2471557472902</v>
      </c>
      <c r="U6">
        <v>1128.0391061453058</v>
      </c>
      <c r="V6">
        <v>1557.265469061889</v>
      </c>
      <c r="W6">
        <v>2263.5491682557476</v>
      </c>
      <c r="X6">
        <v>1149.60183767223</v>
      </c>
      <c r="AO6" t="s">
        <v>89</v>
      </c>
    </row>
    <row r="7" spans="1:56" x14ac:dyDescent="0.2">
      <c r="A7">
        <v>17</v>
      </c>
      <c r="B7" t="s">
        <v>35</v>
      </c>
      <c r="C7" t="s">
        <v>2</v>
      </c>
      <c r="D7">
        <v>1.9610000000000127E-2</v>
      </c>
      <c r="E7">
        <f t="shared" si="0"/>
        <v>19.610000000000127</v>
      </c>
      <c r="F7" s="12">
        <v>31681.200000000001</v>
      </c>
      <c r="G7">
        <f t="shared" si="1"/>
        <v>1615.5634880163077</v>
      </c>
      <c r="H7" t="s">
        <v>27</v>
      </c>
      <c r="J7">
        <v>17</v>
      </c>
      <c r="K7" t="s">
        <v>35</v>
      </c>
      <c r="L7" t="s">
        <v>2</v>
      </c>
      <c r="M7">
        <v>1.9609999999999999E-2</v>
      </c>
      <c r="N7">
        <v>19.61</v>
      </c>
      <c r="O7">
        <v>31681.200000000001</v>
      </c>
      <c r="P7">
        <v>1615.563488</v>
      </c>
      <c r="Q7" t="s">
        <v>27</v>
      </c>
      <c r="S7">
        <v>1290.4439746299272</v>
      </c>
      <c r="T7">
        <v>1590.1062091502943</v>
      </c>
      <c r="U7">
        <v>934.98454746134792</v>
      </c>
      <c r="V7">
        <v>2047.2168803418729</v>
      </c>
      <c r="W7">
        <v>1325.0695603784054</v>
      </c>
      <c r="X7">
        <v>885.85045193102519</v>
      </c>
    </row>
    <row r="8" spans="1:56" x14ac:dyDescent="0.2">
      <c r="A8">
        <v>20</v>
      </c>
      <c r="B8" t="s">
        <v>29</v>
      </c>
      <c r="C8" t="s">
        <v>2</v>
      </c>
      <c r="D8">
        <v>1.9590000000000884E-2</v>
      </c>
      <c r="E8">
        <f t="shared" si="0"/>
        <v>19.590000000000884</v>
      </c>
      <c r="F8" s="12">
        <v>22520.7</v>
      </c>
      <c r="G8">
        <f t="shared" si="1"/>
        <v>1149.60183767223</v>
      </c>
      <c r="H8" t="s">
        <v>33</v>
      </c>
      <c r="J8">
        <v>20</v>
      </c>
      <c r="K8" t="s">
        <v>29</v>
      </c>
      <c r="L8" t="s">
        <v>2</v>
      </c>
      <c r="M8">
        <v>1.959E-2</v>
      </c>
      <c r="N8">
        <v>19.59</v>
      </c>
      <c r="O8">
        <v>22520.7</v>
      </c>
      <c r="P8">
        <v>1149.601838</v>
      </c>
      <c r="Q8" t="s">
        <v>33</v>
      </c>
      <c r="S8">
        <v>1083.1476323119832</v>
      </c>
      <c r="T8">
        <v>1489.9404525605239</v>
      </c>
      <c r="U8">
        <v>1134.0986629783549</v>
      </c>
      <c r="V8">
        <v>1735.5611180642275</v>
      </c>
      <c r="W8">
        <v>2380.3234358430418</v>
      </c>
      <c r="X8">
        <v>1178.7634133878466</v>
      </c>
    </row>
    <row r="9" spans="1:56" x14ac:dyDescent="0.2">
      <c r="A9">
        <v>23</v>
      </c>
      <c r="B9" t="s">
        <v>29</v>
      </c>
      <c r="C9" t="s">
        <v>2</v>
      </c>
      <c r="D9">
        <v>2.4339999999998696E-2</v>
      </c>
      <c r="E9">
        <f t="shared" si="0"/>
        <v>24.339999999998696</v>
      </c>
      <c r="F9" s="12">
        <v>21561.599999999999</v>
      </c>
      <c r="G9">
        <f t="shared" si="1"/>
        <v>885.85045193102519</v>
      </c>
      <c r="H9" t="s">
        <v>27</v>
      </c>
      <c r="J9">
        <v>23</v>
      </c>
      <c r="K9" t="s">
        <v>29</v>
      </c>
      <c r="L9" t="s">
        <v>2</v>
      </c>
      <c r="M9">
        <v>2.4340000000000001E-2</v>
      </c>
      <c r="N9">
        <v>24.34</v>
      </c>
      <c r="O9">
        <v>21561.599999999999</v>
      </c>
      <c r="P9">
        <v>885.85045190000005</v>
      </c>
      <c r="Q9" t="s">
        <v>27</v>
      </c>
      <c r="S9">
        <v>1464.5985060691555</v>
      </c>
      <c r="T9">
        <v>1159.538524927915</v>
      </c>
      <c r="U9">
        <v>1638.8382687926839</v>
      </c>
      <c r="V9">
        <v>1073.1839128613096</v>
      </c>
      <c r="W9">
        <v>985.40451293342971</v>
      </c>
      <c r="X9">
        <v>1465.3392606458183</v>
      </c>
      <c r="AO9" t="s">
        <v>60</v>
      </c>
    </row>
    <row r="10" spans="1:56" x14ac:dyDescent="0.2">
      <c r="A10">
        <v>25</v>
      </c>
      <c r="B10" t="s">
        <v>29</v>
      </c>
      <c r="C10" t="s">
        <v>2</v>
      </c>
      <c r="D10">
        <v>1.9569999999999865E-2</v>
      </c>
      <c r="E10">
        <f t="shared" si="0"/>
        <v>19.569999999999865</v>
      </c>
      <c r="F10" s="12">
        <v>23068.400000000001</v>
      </c>
      <c r="G10">
        <f t="shared" si="1"/>
        <v>1178.7634133878466</v>
      </c>
      <c r="H10" t="s">
        <v>33</v>
      </c>
      <c r="J10">
        <v>25</v>
      </c>
      <c r="K10" t="s">
        <v>29</v>
      </c>
      <c r="L10" t="s">
        <v>2</v>
      </c>
      <c r="M10">
        <v>1.9570000000000001E-2</v>
      </c>
      <c r="N10">
        <v>19.57</v>
      </c>
      <c r="O10">
        <v>23068.400000000001</v>
      </c>
      <c r="P10">
        <v>1178.7634129999999</v>
      </c>
      <c r="Q10" t="s">
        <v>33</v>
      </c>
      <c r="S10">
        <v>1021.3111888112378</v>
      </c>
      <c r="T10">
        <v>1050.57773602628</v>
      </c>
      <c r="U10">
        <v>1599.1317829457932</v>
      </c>
      <c r="V10">
        <v>1346.172668513457</v>
      </c>
      <c r="W10">
        <v>1801.3776846516243</v>
      </c>
      <c r="X10">
        <v>2292.2271806271319</v>
      </c>
    </row>
    <row r="11" spans="1:56" x14ac:dyDescent="0.2">
      <c r="A11">
        <v>31</v>
      </c>
      <c r="B11" t="s">
        <v>29</v>
      </c>
      <c r="C11" t="s">
        <v>2</v>
      </c>
      <c r="D11">
        <v>2.1369999999999223E-2</v>
      </c>
      <c r="E11">
        <f t="shared" si="0"/>
        <v>21.369999999999223</v>
      </c>
      <c r="F11" s="12">
        <v>31314.3</v>
      </c>
      <c r="G11">
        <f t="shared" si="1"/>
        <v>1465.3392606458183</v>
      </c>
      <c r="H11" t="s">
        <v>33</v>
      </c>
      <c r="J11">
        <v>31</v>
      </c>
      <c r="K11" t="s">
        <v>29</v>
      </c>
      <c r="L11" t="s">
        <v>2</v>
      </c>
      <c r="M11">
        <v>2.137E-2</v>
      </c>
      <c r="N11">
        <v>21.37</v>
      </c>
      <c r="O11">
        <v>31314.3</v>
      </c>
      <c r="P11">
        <v>1465.3392610000001</v>
      </c>
      <c r="Q11" t="s">
        <v>33</v>
      </c>
      <c r="S11">
        <v>1546.277665995932</v>
      </c>
      <c r="T11">
        <v>457.35894941634928</v>
      </c>
      <c r="U11">
        <v>1749.3818984548445</v>
      </c>
      <c r="V11">
        <v>1126.4429012345222</v>
      </c>
      <c r="W11">
        <v>3308.9926547744603</v>
      </c>
      <c r="X11">
        <v>1075.3263707571593</v>
      </c>
    </row>
    <row r="12" spans="1:56" x14ac:dyDescent="0.2">
      <c r="A12">
        <v>42</v>
      </c>
      <c r="B12" t="s">
        <v>29</v>
      </c>
      <c r="C12" t="s">
        <v>3</v>
      </c>
      <c r="D12">
        <v>1.8779999999999575E-2</v>
      </c>
      <c r="E12">
        <f t="shared" si="0"/>
        <v>18.779999999999575</v>
      </c>
      <c r="F12" s="12">
        <v>17652.5</v>
      </c>
      <c r="G12">
        <f t="shared" si="1"/>
        <v>939.96272630460066</v>
      </c>
      <c r="H12" t="s">
        <v>33</v>
      </c>
      <c r="J12">
        <v>42</v>
      </c>
      <c r="K12" t="s">
        <v>29</v>
      </c>
      <c r="L12" t="s">
        <v>3</v>
      </c>
      <c r="M12">
        <v>1.8780000000000002E-2</v>
      </c>
      <c r="N12">
        <v>18.78</v>
      </c>
      <c r="O12">
        <v>17652.5</v>
      </c>
      <c r="P12">
        <v>939.96272629999999</v>
      </c>
      <c r="Q12" t="s">
        <v>33</v>
      </c>
      <c r="S12">
        <v>1218.0782069624213</v>
      </c>
      <c r="T12">
        <v>1051.907621247148</v>
      </c>
      <c r="U12">
        <v>1679.4135667396033</v>
      </c>
      <c r="V12">
        <v>2254.7141518275157</v>
      </c>
      <c r="W12">
        <v>916.24689312341093</v>
      </c>
      <c r="X12">
        <v>1067.7471716675118</v>
      </c>
    </row>
    <row r="13" spans="1:56" x14ac:dyDescent="0.2">
      <c r="A13">
        <v>43</v>
      </c>
      <c r="B13" t="s">
        <v>25</v>
      </c>
      <c r="C13" t="s">
        <v>2</v>
      </c>
      <c r="D13">
        <v>2.1509999999999252E-2</v>
      </c>
      <c r="E13">
        <f t="shared" si="0"/>
        <v>21.509999999999252</v>
      </c>
      <c r="F13" s="12">
        <v>27826.1</v>
      </c>
      <c r="G13">
        <f t="shared" si="1"/>
        <v>1293.6355183635967</v>
      </c>
      <c r="H13" t="s">
        <v>33</v>
      </c>
      <c r="J13">
        <v>43</v>
      </c>
      <c r="K13" t="s">
        <v>25</v>
      </c>
      <c r="L13" t="s">
        <v>2</v>
      </c>
      <c r="M13">
        <v>2.1510000000000001E-2</v>
      </c>
      <c r="N13">
        <v>21.51</v>
      </c>
      <c r="O13">
        <v>27826.1</v>
      </c>
      <c r="P13">
        <v>1293.635518</v>
      </c>
      <c r="Q13" t="s">
        <v>33</v>
      </c>
      <c r="S13">
        <v>1305.0828500413743</v>
      </c>
      <c r="T13">
        <v>1432.2559433484228</v>
      </c>
      <c r="U13">
        <v>1162.002308136101</v>
      </c>
      <c r="V13">
        <v>1131.5955983493639</v>
      </c>
      <c r="W13">
        <v>1636.6475195822643</v>
      </c>
      <c r="X13">
        <v>1223.6744407424794</v>
      </c>
    </row>
    <row r="14" spans="1:56" x14ac:dyDescent="0.2">
      <c r="A14">
        <v>47</v>
      </c>
      <c r="B14" t="s">
        <v>29</v>
      </c>
      <c r="C14" t="s">
        <v>2</v>
      </c>
      <c r="D14">
        <v>2.1369999999999223E-2</v>
      </c>
      <c r="E14">
        <f t="shared" si="0"/>
        <v>21.369999999999223</v>
      </c>
      <c r="F14" s="12">
        <v>48984.894850000026</v>
      </c>
      <c r="G14">
        <f t="shared" si="1"/>
        <v>2292.2271806271319</v>
      </c>
      <c r="H14" t="s">
        <v>33</v>
      </c>
      <c r="J14">
        <v>47</v>
      </c>
      <c r="K14" t="s">
        <v>29</v>
      </c>
      <c r="L14" t="s">
        <v>2</v>
      </c>
      <c r="M14">
        <v>2.137E-2</v>
      </c>
      <c r="N14">
        <v>21.37</v>
      </c>
      <c r="O14">
        <v>48984.9</v>
      </c>
      <c r="P14">
        <v>2292.2271810000002</v>
      </c>
      <c r="Q14" t="s">
        <v>33</v>
      </c>
      <c r="S14">
        <v>1433.4675615213087</v>
      </c>
      <c r="T14">
        <v>1122.921754862072</v>
      </c>
      <c r="U14">
        <v>1632.7125067678307</v>
      </c>
      <c r="V14">
        <v>1339.0901991409419</v>
      </c>
      <c r="W14">
        <v>1257.070451089766</v>
      </c>
      <c r="X14">
        <v>1162.539872408335</v>
      </c>
    </row>
    <row r="15" spans="1:56" x14ac:dyDescent="0.2">
      <c r="A15">
        <v>48</v>
      </c>
      <c r="B15" t="s">
        <v>25</v>
      </c>
      <c r="C15" t="s">
        <v>2</v>
      </c>
      <c r="D15">
        <v>2.5490000000001345E-2</v>
      </c>
      <c r="E15">
        <f t="shared" si="0"/>
        <v>25.490000000001345</v>
      </c>
      <c r="F15" s="12">
        <v>29829.599999999999</v>
      </c>
      <c r="G15">
        <f t="shared" si="1"/>
        <v>1170.2471557472902</v>
      </c>
      <c r="H15" t="s">
        <v>33</v>
      </c>
      <c r="J15">
        <v>48</v>
      </c>
      <c r="K15" t="s">
        <v>25</v>
      </c>
      <c r="L15" t="s">
        <v>2</v>
      </c>
      <c r="M15">
        <v>2.5489999999999999E-2</v>
      </c>
      <c r="N15">
        <v>25.49</v>
      </c>
      <c r="O15">
        <v>29829.599999999999</v>
      </c>
      <c r="P15">
        <v>1170.2471559999999</v>
      </c>
      <c r="Q15" t="s">
        <v>33</v>
      </c>
      <c r="S15">
        <v>1187.5140291807882</v>
      </c>
      <c r="T15">
        <v>1978.5849056605123</v>
      </c>
      <c r="U15">
        <v>1763.3152173911581</v>
      </c>
      <c r="V15">
        <v>1468.5254582483885</v>
      </c>
      <c r="W15">
        <v>1358.6072708652393</v>
      </c>
      <c r="X15">
        <v>1820.2212389381104</v>
      </c>
      <c r="AO15" t="s">
        <v>90</v>
      </c>
    </row>
    <row r="16" spans="1:56" x14ac:dyDescent="0.2">
      <c r="A16">
        <v>50</v>
      </c>
      <c r="B16" t="s">
        <v>35</v>
      </c>
      <c r="C16" t="s">
        <v>2</v>
      </c>
      <c r="D16">
        <v>2.9019999999999158E-2</v>
      </c>
      <c r="E16">
        <f t="shared" si="0"/>
        <v>29.019999999999158</v>
      </c>
      <c r="F16" s="12">
        <v>40420.300000000003</v>
      </c>
      <c r="G16">
        <f t="shared" si="1"/>
        <v>1392.8428669883244</v>
      </c>
      <c r="H16" t="s">
        <v>27</v>
      </c>
      <c r="J16">
        <v>50</v>
      </c>
      <c r="K16" t="s">
        <v>35</v>
      </c>
      <c r="L16" t="s">
        <v>2</v>
      </c>
      <c r="M16">
        <v>2.9020000000000001E-2</v>
      </c>
      <c r="N16">
        <v>29.02</v>
      </c>
      <c r="O16">
        <v>40420.300000000003</v>
      </c>
      <c r="P16">
        <v>1392.8428670000001</v>
      </c>
      <c r="Q16" t="s">
        <v>27</v>
      </c>
      <c r="S16">
        <v>1070.9365853658439</v>
      </c>
      <c r="T16">
        <v>997.56924348908444</v>
      </c>
      <c r="U16">
        <v>1267.5839920949013</v>
      </c>
      <c r="V16">
        <v>1495.0627032048117</v>
      </c>
      <c r="W16">
        <v>1572.0951302377259</v>
      </c>
      <c r="X16">
        <v>1539.7246376811804</v>
      </c>
    </row>
    <row r="17" spans="1:42" x14ac:dyDescent="0.2">
      <c r="A17">
        <v>53</v>
      </c>
      <c r="B17" t="s">
        <v>29</v>
      </c>
      <c r="C17" t="s">
        <v>2</v>
      </c>
      <c r="D17">
        <v>2.2980000000000445E-2</v>
      </c>
      <c r="E17">
        <f t="shared" si="0"/>
        <v>22.980000000000445</v>
      </c>
      <c r="F17" s="12">
        <v>24711</v>
      </c>
      <c r="G17">
        <f t="shared" si="1"/>
        <v>1075.3263707571593</v>
      </c>
      <c r="H17" t="s">
        <v>27</v>
      </c>
      <c r="J17">
        <v>53</v>
      </c>
      <c r="K17" t="s">
        <v>29</v>
      </c>
      <c r="L17" t="s">
        <v>2</v>
      </c>
      <c r="M17">
        <v>2.298E-2</v>
      </c>
      <c r="N17">
        <v>22.98</v>
      </c>
      <c r="O17">
        <v>24711</v>
      </c>
      <c r="P17">
        <v>1075.3263710000001</v>
      </c>
      <c r="Q17" t="s">
        <v>27</v>
      </c>
      <c r="S17">
        <v>1571.1149228130355</v>
      </c>
      <c r="T17">
        <v>490.16064257027273</v>
      </c>
      <c r="U17">
        <v>1759.423614997175</v>
      </c>
      <c r="V17">
        <v>1502.1920000000855</v>
      </c>
      <c r="W17">
        <v>1124.00894854589</v>
      </c>
      <c r="X17">
        <v>1079.4461778471468</v>
      </c>
      <c r="AO17" t="s">
        <v>91</v>
      </c>
      <c r="AP17" t="s">
        <v>91</v>
      </c>
    </row>
    <row r="18" spans="1:42" x14ac:dyDescent="0.2">
      <c r="A18">
        <v>54</v>
      </c>
      <c r="B18" t="s">
        <v>29</v>
      </c>
      <c r="C18" t="s">
        <v>3</v>
      </c>
      <c r="D18">
        <v>1.9189999999998264E-2</v>
      </c>
      <c r="E18">
        <f t="shared" si="0"/>
        <v>19.189999999998264</v>
      </c>
      <c r="F18" s="12">
        <v>18106.900000000001</v>
      </c>
      <c r="G18">
        <f t="shared" si="1"/>
        <v>943.55914538830848</v>
      </c>
      <c r="H18" t="s">
        <v>27</v>
      </c>
      <c r="J18">
        <v>54</v>
      </c>
      <c r="K18" t="s">
        <v>29</v>
      </c>
      <c r="L18" t="s">
        <v>3</v>
      </c>
      <c r="M18">
        <v>1.9189999999999999E-2</v>
      </c>
      <c r="N18">
        <v>19.190000000000001</v>
      </c>
      <c r="O18">
        <v>18106.900000000001</v>
      </c>
      <c r="P18">
        <v>943.55914540000003</v>
      </c>
      <c r="Q18" t="s">
        <v>27</v>
      </c>
      <c r="S18">
        <v>1012.8252234359683</v>
      </c>
      <c r="T18">
        <v>1825.3493449781722</v>
      </c>
      <c r="U18">
        <v>1500.2203182373842</v>
      </c>
      <c r="V18">
        <v>1350.4594059406061</v>
      </c>
      <c r="W18">
        <v>1056.1389759665535</v>
      </c>
      <c r="X18">
        <v>1570.9953822473594</v>
      </c>
      <c r="AO18" t="s">
        <v>69</v>
      </c>
      <c r="AP18">
        <v>1541.8154999999999</v>
      </c>
    </row>
    <row r="19" spans="1:42" x14ac:dyDescent="0.2">
      <c r="A19">
        <v>55</v>
      </c>
      <c r="B19" t="s">
        <v>29</v>
      </c>
      <c r="C19" t="s">
        <v>2</v>
      </c>
      <c r="D19">
        <v>2.0329999999999515E-2</v>
      </c>
      <c r="E19">
        <f t="shared" si="0"/>
        <v>20.329999999999515</v>
      </c>
      <c r="F19" s="12">
        <v>21707.3</v>
      </c>
      <c r="G19">
        <f t="shared" si="1"/>
        <v>1067.7471716675118</v>
      </c>
      <c r="H19" t="s">
        <v>33</v>
      </c>
      <c r="J19">
        <v>55</v>
      </c>
      <c r="K19" t="s">
        <v>29</v>
      </c>
      <c r="L19" t="s">
        <v>2</v>
      </c>
      <c r="M19">
        <v>2.0330000000000001E-2</v>
      </c>
      <c r="N19">
        <v>20.329999999999998</v>
      </c>
      <c r="O19">
        <v>21707.3</v>
      </c>
      <c r="P19">
        <v>1067.7471720000001</v>
      </c>
      <c r="Q19" t="s">
        <v>33</v>
      </c>
      <c r="S19">
        <v>1189.7068254695607</v>
      </c>
      <c r="T19">
        <v>2106.4134275617553</v>
      </c>
      <c r="U19">
        <v>1279.0493114171211</v>
      </c>
      <c r="V19">
        <v>1179.4236083695084</v>
      </c>
      <c r="W19">
        <v>1197.9011194029781</v>
      </c>
      <c r="X19">
        <v>1902.1049974760547</v>
      </c>
      <c r="AO19" t="s">
        <v>92</v>
      </c>
      <c r="AP19">
        <v>438.08742999999998</v>
      </c>
    </row>
    <row r="20" spans="1:42" x14ac:dyDescent="0.2">
      <c r="A20">
        <v>56</v>
      </c>
      <c r="B20" t="s">
        <v>35</v>
      </c>
      <c r="C20" t="s">
        <v>2</v>
      </c>
      <c r="D20">
        <v>2.0039999999999836E-2</v>
      </c>
      <c r="E20">
        <f t="shared" si="0"/>
        <v>20.039999999999836</v>
      </c>
      <c r="F20" s="12">
        <v>31207.599999999999</v>
      </c>
      <c r="G20">
        <f t="shared" si="1"/>
        <v>1557.265469061889</v>
      </c>
      <c r="H20" t="s">
        <v>27</v>
      </c>
      <c r="J20">
        <v>56</v>
      </c>
      <c r="K20" t="s">
        <v>35</v>
      </c>
      <c r="L20" t="s">
        <v>2</v>
      </c>
      <c r="M20">
        <v>2.0039999999999999E-2</v>
      </c>
      <c r="N20">
        <v>20.04</v>
      </c>
      <c r="O20">
        <v>31207.599999999999</v>
      </c>
      <c r="P20">
        <v>1557.2654689999999</v>
      </c>
      <c r="Q20" t="s">
        <v>27</v>
      </c>
      <c r="S20">
        <v>1293.1775259678279</v>
      </c>
      <c r="T20">
        <v>1706.1068702289297</v>
      </c>
      <c r="U20">
        <v>1688.0018717827943</v>
      </c>
      <c r="V20">
        <v>1049.1456834532357</v>
      </c>
      <c r="W20">
        <v>835.03303964757924</v>
      </c>
      <c r="X20">
        <v>2762.5362903226869</v>
      </c>
      <c r="AO20" t="s">
        <v>93</v>
      </c>
      <c r="AP20">
        <v>78.682826000000006</v>
      </c>
    </row>
    <row r="21" spans="1:42" x14ac:dyDescent="0.2">
      <c r="A21">
        <v>57</v>
      </c>
      <c r="B21" t="s">
        <v>35</v>
      </c>
      <c r="C21" t="s">
        <v>2</v>
      </c>
      <c r="D21">
        <v>1.872000000000007E-2</v>
      </c>
      <c r="E21">
        <f t="shared" si="0"/>
        <v>18.72000000000007</v>
      </c>
      <c r="F21" s="12">
        <v>38323.9</v>
      </c>
      <c r="G21">
        <f t="shared" si="1"/>
        <v>2047.2168803418729</v>
      </c>
      <c r="H21" t="s">
        <v>27</v>
      </c>
      <c r="J21">
        <v>57</v>
      </c>
      <c r="K21" t="s">
        <v>35</v>
      </c>
      <c r="L21" t="s">
        <v>2</v>
      </c>
      <c r="M21">
        <v>1.8720000000000001E-2</v>
      </c>
      <c r="N21">
        <v>18.72</v>
      </c>
      <c r="O21">
        <v>38323.9</v>
      </c>
      <c r="P21">
        <v>2047.2168799999999</v>
      </c>
      <c r="Q21" t="s">
        <v>27</v>
      </c>
      <c r="S21">
        <v>1324.418103448219</v>
      </c>
      <c r="T21">
        <v>1451.6680637050001</v>
      </c>
      <c r="U21">
        <v>958.5393700786949</v>
      </c>
      <c r="V21">
        <v>966.10169491526199</v>
      </c>
      <c r="W21">
        <v>1181.9612476370473</v>
      </c>
      <c r="X21">
        <v>1887.4046184739855</v>
      </c>
      <c r="AO21" t="s">
        <v>94</v>
      </c>
      <c r="AP21">
        <v>1702.5073</v>
      </c>
    </row>
    <row r="22" spans="1:42" x14ac:dyDescent="0.2">
      <c r="A22">
        <v>60</v>
      </c>
      <c r="B22" t="s">
        <v>35</v>
      </c>
      <c r="C22" t="s">
        <v>2</v>
      </c>
      <c r="D22">
        <v>2.3970000000000269E-2</v>
      </c>
      <c r="E22">
        <f t="shared" si="0"/>
        <v>23.970000000000269</v>
      </c>
      <c r="F22" s="12">
        <v>41601.4</v>
      </c>
      <c r="G22">
        <f t="shared" si="1"/>
        <v>1735.5611180642275</v>
      </c>
      <c r="H22" t="s">
        <v>27</v>
      </c>
      <c r="J22">
        <v>60</v>
      </c>
      <c r="K22" t="s">
        <v>35</v>
      </c>
      <c r="L22" t="s">
        <v>2</v>
      </c>
      <c r="M22">
        <v>2.3970000000000002E-2</v>
      </c>
      <c r="N22">
        <v>23.97</v>
      </c>
      <c r="O22">
        <v>41601.4</v>
      </c>
      <c r="P22">
        <v>1735.5611180000001</v>
      </c>
      <c r="Q22" t="s">
        <v>27</v>
      </c>
      <c r="S22">
        <v>1112.0560344827109</v>
      </c>
      <c r="T22">
        <v>1163.9755639097277</v>
      </c>
      <c r="U22">
        <v>1939.9277210884732</v>
      </c>
      <c r="V22">
        <v>1463.1422845692148</v>
      </c>
      <c r="W22">
        <v>1248.6877828055297</v>
      </c>
      <c r="X22">
        <v>1610.5447298494528</v>
      </c>
      <c r="AO22" t="s">
        <v>95</v>
      </c>
      <c r="AP22">
        <v>1381.1238000000001</v>
      </c>
    </row>
    <row r="23" spans="1:42" x14ac:dyDescent="0.2">
      <c r="A23">
        <v>63</v>
      </c>
      <c r="B23" t="s">
        <v>35</v>
      </c>
      <c r="C23" t="s">
        <v>3</v>
      </c>
      <c r="D23">
        <v>2.0870000000000388E-2</v>
      </c>
      <c r="E23">
        <f t="shared" si="0"/>
        <v>20.870000000000388</v>
      </c>
      <c r="F23" s="12">
        <v>38125</v>
      </c>
      <c r="G23">
        <f t="shared" si="1"/>
        <v>1826.7848586487441</v>
      </c>
      <c r="H23" t="s">
        <v>27</v>
      </c>
      <c r="J23">
        <v>63</v>
      </c>
      <c r="K23" t="s">
        <v>35</v>
      </c>
      <c r="L23" t="s">
        <v>3</v>
      </c>
      <c r="M23">
        <v>2.087E-2</v>
      </c>
      <c r="N23">
        <v>20.87</v>
      </c>
      <c r="O23">
        <v>38125</v>
      </c>
      <c r="P23">
        <v>1826.7848590000001</v>
      </c>
      <c r="Q23" t="s">
        <v>27</v>
      </c>
      <c r="S23">
        <v>1016.7855444602253</v>
      </c>
      <c r="T23">
        <v>525.0573698146485</v>
      </c>
      <c r="U23">
        <v>1044.9295774647364</v>
      </c>
      <c r="V23">
        <v>1815.0551558752002</v>
      </c>
      <c r="W23">
        <v>1292.2998805256543</v>
      </c>
      <c r="X23">
        <v>1147.1994342291398</v>
      </c>
      <c r="AO23" t="s">
        <v>96</v>
      </c>
      <c r="AP23">
        <v>31</v>
      </c>
    </row>
    <row r="24" spans="1:42" x14ac:dyDescent="0.2">
      <c r="A24">
        <v>64</v>
      </c>
      <c r="B24" t="s">
        <v>29</v>
      </c>
      <c r="C24" t="s">
        <v>3</v>
      </c>
      <c r="D24">
        <v>1.7830000000000013E-2</v>
      </c>
      <c r="E24">
        <f t="shared" si="0"/>
        <v>17.830000000000013</v>
      </c>
      <c r="F24" s="12">
        <v>40359.081670000007</v>
      </c>
      <c r="G24">
        <f t="shared" si="1"/>
        <v>2263.5491682557476</v>
      </c>
      <c r="H24" t="s">
        <v>27</v>
      </c>
      <c r="J24">
        <v>64</v>
      </c>
      <c r="K24" t="s">
        <v>29</v>
      </c>
      <c r="L24" t="s">
        <v>3</v>
      </c>
      <c r="M24">
        <v>1.7829999999999999E-2</v>
      </c>
      <c r="N24">
        <v>17.829999999999998</v>
      </c>
      <c r="O24">
        <v>40359.1</v>
      </c>
      <c r="P24">
        <v>2263.549168</v>
      </c>
      <c r="Q24" t="s">
        <v>27</v>
      </c>
      <c r="S24">
        <v>2207.3818181818297</v>
      </c>
      <c r="T24">
        <v>2025.0062009093979</v>
      </c>
      <c r="U24">
        <v>1758.0096385542504</v>
      </c>
      <c r="V24">
        <v>1979.9263200981898</v>
      </c>
      <c r="W24">
        <v>1756.6779279280158</v>
      </c>
      <c r="X24">
        <v>996.87090739005521</v>
      </c>
    </row>
    <row r="25" spans="1:42" x14ac:dyDescent="0.2">
      <c r="A25">
        <v>70</v>
      </c>
      <c r="B25" t="s">
        <v>35</v>
      </c>
      <c r="C25" t="s">
        <v>3</v>
      </c>
      <c r="D25">
        <v>2.1380000000000621E-2</v>
      </c>
      <c r="E25">
        <f t="shared" si="0"/>
        <v>21.380000000000621</v>
      </c>
      <c r="F25" s="12">
        <v>22439</v>
      </c>
      <c r="G25">
        <f t="shared" si="1"/>
        <v>1049.5322731524484</v>
      </c>
      <c r="H25" t="s">
        <v>27</v>
      </c>
      <c r="J25">
        <v>70</v>
      </c>
      <c r="K25" t="s">
        <v>35</v>
      </c>
      <c r="L25" t="s">
        <v>3</v>
      </c>
      <c r="M25">
        <v>2.138E-2</v>
      </c>
      <c r="N25">
        <v>21.38</v>
      </c>
      <c r="O25">
        <v>22439</v>
      </c>
      <c r="P25">
        <v>1049.532273</v>
      </c>
      <c r="Q25" t="s">
        <v>27</v>
      </c>
      <c r="S25">
        <v>1384.8608042421881</v>
      </c>
      <c r="T25">
        <v>925.35909090908081</v>
      </c>
      <c r="U25">
        <v>1765.0241028387611</v>
      </c>
      <c r="V25">
        <v>939.31954887217421</v>
      </c>
      <c r="W25">
        <v>1285.3461128860781</v>
      </c>
      <c r="X25">
        <v>1869.0753724803301</v>
      </c>
    </row>
    <row r="26" spans="1:42" x14ac:dyDescent="0.2">
      <c r="A26">
        <v>71</v>
      </c>
      <c r="B26" t="s">
        <v>35</v>
      </c>
      <c r="C26" t="s">
        <v>3</v>
      </c>
      <c r="D26">
        <v>1.7899999999999139E-2</v>
      </c>
      <c r="E26">
        <f t="shared" si="0"/>
        <v>17.899999999999139</v>
      </c>
      <c r="F26" s="12">
        <v>20191.900000000001</v>
      </c>
      <c r="G26">
        <f t="shared" si="1"/>
        <v>1128.0391061453058</v>
      </c>
      <c r="H26" t="s">
        <v>27</v>
      </c>
      <c r="J26">
        <v>71</v>
      </c>
      <c r="K26" t="s">
        <v>35</v>
      </c>
      <c r="L26" t="s">
        <v>3</v>
      </c>
      <c r="M26">
        <v>1.7899999999999999E-2</v>
      </c>
      <c r="N26">
        <v>17.899999999999999</v>
      </c>
      <c r="O26">
        <v>20191.900000000001</v>
      </c>
      <c r="P26">
        <v>1128.0391059999999</v>
      </c>
      <c r="Q26" t="s">
        <v>27</v>
      </c>
      <c r="S26">
        <v>2140.3425196850881</v>
      </c>
      <c r="T26">
        <v>1822.4822398662761</v>
      </c>
      <c r="U26">
        <v>1498.3805668016241</v>
      </c>
      <c r="V26">
        <v>1862.3019057171452</v>
      </c>
      <c r="W26">
        <v>2004.698919197135</v>
      </c>
      <c r="X26">
        <v>1778.9752832131624</v>
      </c>
    </row>
    <row r="27" spans="1:42" x14ac:dyDescent="0.2">
      <c r="A27">
        <v>72</v>
      </c>
      <c r="B27" t="s">
        <v>25</v>
      </c>
      <c r="C27" t="s">
        <v>2</v>
      </c>
      <c r="D27">
        <v>2.4480000000000501E-2</v>
      </c>
      <c r="E27">
        <f t="shared" si="0"/>
        <v>24.480000000000501</v>
      </c>
      <c r="F27" s="12">
        <v>38925.800000000003</v>
      </c>
      <c r="G27">
        <f t="shared" si="1"/>
        <v>1590.1062091502943</v>
      </c>
      <c r="H27" t="s">
        <v>27</v>
      </c>
      <c r="J27">
        <v>72</v>
      </c>
      <c r="K27" t="s">
        <v>25</v>
      </c>
      <c r="L27" t="s">
        <v>2</v>
      </c>
      <c r="M27">
        <v>2.4479999999999998E-2</v>
      </c>
      <c r="N27">
        <v>24.48</v>
      </c>
      <c r="O27">
        <v>38925.800000000003</v>
      </c>
      <c r="P27">
        <v>1590.106209</v>
      </c>
      <c r="Q27" t="s">
        <v>27</v>
      </c>
      <c r="S27">
        <v>1374.2307692307052</v>
      </c>
      <c r="U27">
        <v>950.28800755432735</v>
      </c>
      <c r="V27">
        <v>1790.5481955231453</v>
      </c>
      <c r="W27">
        <v>1892.691011235833</v>
      </c>
      <c r="X27">
        <v>1928.8308977036095</v>
      </c>
    </row>
    <row r="28" spans="1:42" x14ac:dyDescent="0.2">
      <c r="A28">
        <v>74</v>
      </c>
      <c r="B28" t="s">
        <v>25</v>
      </c>
      <c r="C28" t="s">
        <v>2</v>
      </c>
      <c r="D28">
        <v>2.5190000000000268E-2</v>
      </c>
      <c r="E28">
        <f t="shared" si="0"/>
        <v>25.190000000000268</v>
      </c>
      <c r="F28" s="12">
        <v>37531.599999999999</v>
      </c>
      <c r="G28">
        <f t="shared" si="1"/>
        <v>1489.9404525605239</v>
      </c>
      <c r="H28" t="s">
        <v>27</v>
      </c>
      <c r="J28">
        <v>74</v>
      </c>
      <c r="K28" t="s">
        <v>25</v>
      </c>
      <c r="L28" t="s">
        <v>2</v>
      </c>
      <c r="M28">
        <v>2.5190000000000001E-2</v>
      </c>
      <c r="N28">
        <v>25.19</v>
      </c>
      <c r="O28">
        <v>37531.599999999999</v>
      </c>
      <c r="P28">
        <v>1489.9404529999999</v>
      </c>
      <c r="Q28" t="s">
        <v>27</v>
      </c>
      <c r="S28">
        <v>1268.1961762260796</v>
      </c>
      <c r="U28">
        <v>1458.3211297070432</v>
      </c>
      <c r="W28">
        <v>1451.8208955223074</v>
      </c>
      <c r="X28">
        <v>1675.7446808511693</v>
      </c>
      <c r="AO28" t="s">
        <v>101</v>
      </c>
    </row>
    <row r="29" spans="1:42" x14ac:dyDescent="0.2">
      <c r="A29">
        <v>80</v>
      </c>
      <c r="B29" t="s">
        <v>35</v>
      </c>
      <c r="C29" t="s">
        <v>2</v>
      </c>
      <c r="D29">
        <v>2.3870000000000502E-2</v>
      </c>
      <c r="E29">
        <f t="shared" si="0"/>
        <v>23.870000000000502</v>
      </c>
      <c r="F29" s="12">
        <v>25616.9</v>
      </c>
      <c r="G29">
        <f t="shared" si="1"/>
        <v>1073.1839128613096</v>
      </c>
      <c r="H29" t="s">
        <v>27</v>
      </c>
      <c r="J29">
        <v>80</v>
      </c>
      <c r="K29" t="s">
        <v>35</v>
      </c>
      <c r="L29" t="s">
        <v>2</v>
      </c>
      <c r="M29">
        <v>2.3869999999999999E-2</v>
      </c>
      <c r="N29">
        <v>23.87</v>
      </c>
      <c r="O29">
        <v>25616.9</v>
      </c>
      <c r="P29">
        <v>1073.1839130000001</v>
      </c>
      <c r="Q29" t="s">
        <v>27</v>
      </c>
      <c r="S29">
        <v>958.18132464708276</v>
      </c>
      <c r="U29">
        <v>834.84738041000924</v>
      </c>
      <c r="W29">
        <v>1184.7605224963227</v>
      </c>
      <c r="X29">
        <v>1997.4036939313728</v>
      </c>
    </row>
    <row r="30" spans="1:42" x14ac:dyDescent="0.2">
      <c r="A30">
        <v>84</v>
      </c>
      <c r="B30" t="s">
        <v>35</v>
      </c>
      <c r="C30" t="s">
        <v>3</v>
      </c>
      <c r="D30">
        <v>2.2650000000000503E-2</v>
      </c>
      <c r="E30">
        <f t="shared" si="0"/>
        <v>22.650000000000503</v>
      </c>
      <c r="F30" s="12">
        <v>21177.4</v>
      </c>
      <c r="G30">
        <f t="shared" si="1"/>
        <v>934.98454746134792</v>
      </c>
      <c r="H30" t="s">
        <v>27</v>
      </c>
      <c r="J30">
        <v>84</v>
      </c>
      <c r="K30" t="s">
        <v>35</v>
      </c>
      <c r="L30" t="s">
        <v>3</v>
      </c>
      <c r="M30">
        <v>2.265E-2</v>
      </c>
      <c r="N30">
        <v>22.65</v>
      </c>
      <c r="O30">
        <v>21177.4</v>
      </c>
      <c r="P30">
        <v>934.98454749999996</v>
      </c>
      <c r="Q30" t="s">
        <v>27</v>
      </c>
      <c r="U30">
        <v>1965.1860602482477</v>
      </c>
      <c r="W30">
        <v>883.01671064201525</v>
      </c>
      <c r="X30">
        <v>1464.547957778844</v>
      </c>
    </row>
    <row r="31" spans="1:42" x14ac:dyDescent="0.2">
      <c r="A31">
        <v>91</v>
      </c>
      <c r="B31" t="s">
        <v>29</v>
      </c>
      <c r="C31" t="s">
        <v>3</v>
      </c>
      <c r="D31">
        <v>1.7970000000000041E-2</v>
      </c>
      <c r="E31">
        <f t="shared" si="0"/>
        <v>17.970000000000041</v>
      </c>
      <c r="F31" s="12">
        <v>23811.5</v>
      </c>
      <c r="G31">
        <f t="shared" si="1"/>
        <v>1325.0695603784054</v>
      </c>
      <c r="H31" t="s">
        <v>33</v>
      </c>
      <c r="J31">
        <v>91</v>
      </c>
      <c r="K31" t="s">
        <v>29</v>
      </c>
      <c r="L31" t="s">
        <v>3</v>
      </c>
      <c r="M31">
        <v>1.797E-2</v>
      </c>
      <c r="N31">
        <v>17.97</v>
      </c>
      <c r="O31">
        <v>23811.5</v>
      </c>
      <c r="P31">
        <v>1325.0695599999999</v>
      </c>
      <c r="Q31" t="s">
        <v>33</v>
      </c>
      <c r="U31">
        <v>1760.4768583450011</v>
      </c>
      <c r="W31">
        <v>1102.8447395301616</v>
      </c>
      <c r="X31">
        <v>1021.4478114477309</v>
      </c>
      <c r="AO31" t="s">
        <v>60</v>
      </c>
    </row>
    <row r="32" spans="1:42" x14ac:dyDescent="0.2">
      <c r="A32">
        <v>93</v>
      </c>
      <c r="B32" t="s">
        <v>35</v>
      </c>
      <c r="C32" t="s">
        <v>3</v>
      </c>
      <c r="D32">
        <v>2.1689999999999543E-2</v>
      </c>
      <c r="E32">
        <f t="shared" si="0"/>
        <v>21.689999999999543</v>
      </c>
      <c r="F32" s="12">
        <v>24598.6</v>
      </c>
      <c r="G32">
        <f t="shared" si="1"/>
        <v>1134.0986629783549</v>
      </c>
      <c r="H32" t="s">
        <v>27</v>
      </c>
      <c r="J32">
        <v>93</v>
      </c>
      <c r="K32" t="s">
        <v>35</v>
      </c>
      <c r="L32" t="s">
        <v>3</v>
      </c>
      <c r="M32">
        <v>2.1690000000000001E-2</v>
      </c>
      <c r="N32">
        <v>21.69</v>
      </c>
      <c r="O32">
        <v>24598.6</v>
      </c>
      <c r="P32">
        <v>1134.098663</v>
      </c>
      <c r="Q32" t="s">
        <v>27</v>
      </c>
      <c r="W32">
        <v>2070.6202898549936</v>
      </c>
      <c r="X32">
        <v>1865.2380952382127</v>
      </c>
    </row>
    <row r="33" spans="1:42" x14ac:dyDescent="0.2">
      <c r="A33">
        <v>96</v>
      </c>
      <c r="B33" t="s">
        <v>35</v>
      </c>
      <c r="C33" t="s">
        <v>2</v>
      </c>
      <c r="D33">
        <v>2.1659999999998902E-2</v>
      </c>
      <c r="E33">
        <f t="shared" si="0"/>
        <v>21.659999999998902</v>
      </c>
      <c r="F33" s="12">
        <v>29158.1</v>
      </c>
      <c r="G33">
        <f t="shared" si="1"/>
        <v>1346.172668513457</v>
      </c>
      <c r="H33" t="s">
        <v>27</v>
      </c>
      <c r="J33">
        <v>96</v>
      </c>
      <c r="K33" t="s">
        <v>35</v>
      </c>
      <c r="L33" t="s">
        <v>2</v>
      </c>
      <c r="M33">
        <v>2.1659999999999999E-2</v>
      </c>
      <c r="N33">
        <v>21.66</v>
      </c>
      <c r="O33">
        <v>29158.1</v>
      </c>
      <c r="P33">
        <v>1346.172669</v>
      </c>
      <c r="Q33" t="s">
        <v>27</v>
      </c>
      <c r="W33">
        <v>568.87882219701942</v>
      </c>
      <c r="X33">
        <v>1919.8722222221493</v>
      </c>
    </row>
    <row r="34" spans="1:42" x14ac:dyDescent="0.2">
      <c r="A34">
        <v>99</v>
      </c>
      <c r="B34" t="s">
        <v>29</v>
      </c>
      <c r="C34" t="s">
        <v>2</v>
      </c>
      <c r="D34">
        <v>2.1010000000000417E-2</v>
      </c>
      <c r="E34">
        <f t="shared" si="0"/>
        <v>21.010000000000417</v>
      </c>
      <c r="F34" s="12">
        <v>25709.4</v>
      </c>
      <c r="G34">
        <f t="shared" si="1"/>
        <v>1223.6744407424794</v>
      </c>
      <c r="H34" t="s">
        <v>27</v>
      </c>
      <c r="J34">
        <v>99</v>
      </c>
      <c r="K34" t="s">
        <v>29</v>
      </c>
      <c r="L34" t="s">
        <v>2</v>
      </c>
      <c r="M34">
        <v>2.1010000000000001E-2</v>
      </c>
      <c r="N34">
        <v>21.01</v>
      </c>
      <c r="O34">
        <v>25709.4</v>
      </c>
      <c r="P34">
        <v>1223.6744409999999</v>
      </c>
      <c r="Q34" t="s">
        <v>27</v>
      </c>
      <c r="W34">
        <v>1629.2630446476896</v>
      </c>
      <c r="X34">
        <v>1110.2351683591396</v>
      </c>
    </row>
    <row r="35" spans="1:42" x14ac:dyDescent="0.2">
      <c r="A35">
        <v>100</v>
      </c>
      <c r="B35" t="s">
        <v>29</v>
      </c>
      <c r="C35" t="s">
        <v>3</v>
      </c>
      <c r="D35">
        <v>1.8860000000000099E-2</v>
      </c>
      <c r="E35">
        <f t="shared" si="0"/>
        <v>18.860000000000099</v>
      </c>
      <c r="F35" s="12">
        <v>44892.9</v>
      </c>
      <c r="G35">
        <f t="shared" si="1"/>
        <v>2380.3234358430418</v>
      </c>
      <c r="H35" t="s">
        <v>27</v>
      </c>
      <c r="J35">
        <v>100</v>
      </c>
      <c r="K35" t="s">
        <v>29</v>
      </c>
      <c r="L35" t="s">
        <v>3</v>
      </c>
      <c r="M35">
        <v>1.8859999999999998E-2</v>
      </c>
      <c r="N35">
        <v>18.86</v>
      </c>
      <c r="O35">
        <v>44892.9</v>
      </c>
      <c r="P35">
        <v>2380.3234360000001</v>
      </c>
      <c r="Q35" t="s">
        <v>27</v>
      </c>
      <c r="W35">
        <v>1575.1710056151815</v>
      </c>
    </row>
    <row r="36" spans="1:42" x14ac:dyDescent="0.2">
      <c r="A36">
        <v>101</v>
      </c>
      <c r="B36" t="s">
        <v>35</v>
      </c>
      <c r="C36" t="s">
        <v>3</v>
      </c>
      <c r="D36">
        <v>2.1950000000000358E-2</v>
      </c>
      <c r="E36">
        <f t="shared" ref="E36:E67" si="2">D36*1000</f>
        <v>21.950000000000358</v>
      </c>
      <c r="F36" s="12">
        <v>35972.5</v>
      </c>
      <c r="G36">
        <f t="shared" ref="G36:G67" si="3">F36/E36</f>
        <v>1638.8382687926839</v>
      </c>
      <c r="H36" t="s">
        <v>27</v>
      </c>
      <c r="J36">
        <v>101</v>
      </c>
      <c r="K36" t="s">
        <v>35</v>
      </c>
      <c r="L36" t="s">
        <v>3</v>
      </c>
      <c r="M36">
        <v>2.1950000000000001E-2</v>
      </c>
      <c r="N36">
        <v>21.95</v>
      </c>
      <c r="O36">
        <v>35972.5</v>
      </c>
      <c r="P36">
        <v>1638.8382690000001</v>
      </c>
      <c r="Q36" t="s">
        <v>27</v>
      </c>
      <c r="W36">
        <v>855.73890339426589</v>
      </c>
    </row>
    <row r="37" spans="1:42" x14ac:dyDescent="0.2">
      <c r="A37">
        <v>102</v>
      </c>
      <c r="B37" t="s">
        <v>25</v>
      </c>
      <c r="C37" t="s">
        <v>3</v>
      </c>
      <c r="D37">
        <v>2.5120000000001141E-2</v>
      </c>
      <c r="E37">
        <f t="shared" si="2"/>
        <v>25.120000000001141</v>
      </c>
      <c r="F37" s="12">
        <v>31616.6</v>
      </c>
      <c r="G37">
        <f t="shared" si="3"/>
        <v>1258.622611464911</v>
      </c>
      <c r="H37" t="s">
        <v>33</v>
      </c>
      <c r="J37">
        <v>102</v>
      </c>
      <c r="K37" t="s">
        <v>25</v>
      </c>
      <c r="L37" t="s">
        <v>3</v>
      </c>
      <c r="M37">
        <v>2.512E-2</v>
      </c>
      <c r="N37">
        <v>25.12</v>
      </c>
      <c r="O37">
        <v>31616.6</v>
      </c>
      <c r="P37">
        <v>1258.622611</v>
      </c>
      <c r="Q37" t="s">
        <v>33</v>
      </c>
      <c r="W37">
        <v>2135.4860392968285</v>
      </c>
      <c r="AO37" t="s">
        <v>90</v>
      </c>
    </row>
    <row r="38" spans="1:42" x14ac:dyDescent="0.2">
      <c r="A38">
        <v>103</v>
      </c>
      <c r="B38" t="s">
        <v>35</v>
      </c>
      <c r="C38" t="s">
        <v>2</v>
      </c>
      <c r="D38">
        <v>2.5920000000001053E-2</v>
      </c>
      <c r="E38">
        <f t="shared" si="2"/>
        <v>25.920000000001053</v>
      </c>
      <c r="F38" s="12">
        <v>29197.4</v>
      </c>
      <c r="G38">
        <f t="shared" si="3"/>
        <v>1126.4429012345222</v>
      </c>
      <c r="H38" t="s">
        <v>27</v>
      </c>
      <c r="J38">
        <v>103</v>
      </c>
      <c r="K38" t="s">
        <v>35</v>
      </c>
      <c r="L38" t="s">
        <v>2</v>
      </c>
      <c r="M38">
        <v>2.5919999999999999E-2</v>
      </c>
      <c r="N38">
        <v>25.92</v>
      </c>
      <c r="O38">
        <v>29197.4</v>
      </c>
      <c r="P38">
        <v>1126.4429009999999</v>
      </c>
      <c r="Q38" t="s">
        <v>27</v>
      </c>
      <c r="W38">
        <v>1012.2189523248007</v>
      </c>
    </row>
    <row r="39" spans="1:42" x14ac:dyDescent="0.2">
      <c r="A39">
        <v>105</v>
      </c>
      <c r="B39" t="s">
        <v>29</v>
      </c>
      <c r="C39" t="s">
        <v>2</v>
      </c>
      <c r="D39">
        <v>2.5079999999999103E-2</v>
      </c>
      <c r="E39">
        <f t="shared" si="2"/>
        <v>25.079999999999103</v>
      </c>
      <c r="F39" s="12">
        <v>29156.5</v>
      </c>
      <c r="G39">
        <f t="shared" si="3"/>
        <v>1162.539872408335</v>
      </c>
      <c r="H39" t="s">
        <v>33</v>
      </c>
      <c r="J39">
        <v>105</v>
      </c>
      <c r="K39" t="s">
        <v>29</v>
      </c>
      <c r="L39" t="s">
        <v>2</v>
      </c>
      <c r="M39">
        <v>2.5080000000000002E-2</v>
      </c>
      <c r="N39">
        <v>25.08</v>
      </c>
      <c r="O39">
        <v>29156.5</v>
      </c>
      <c r="P39">
        <v>1162.5398720000001</v>
      </c>
      <c r="Q39" t="s">
        <v>33</v>
      </c>
      <c r="W39">
        <v>1750.2835332606091</v>
      </c>
      <c r="AO39" t="s">
        <v>91</v>
      </c>
      <c r="AP39" t="s">
        <v>91</v>
      </c>
    </row>
    <row r="40" spans="1:42" x14ac:dyDescent="0.2">
      <c r="A40">
        <v>111</v>
      </c>
      <c r="B40" t="s">
        <v>25</v>
      </c>
      <c r="C40" t="s">
        <v>2</v>
      </c>
      <c r="D40">
        <v>2.426999999999957E-2</v>
      </c>
      <c r="E40">
        <f t="shared" si="2"/>
        <v>24.26999999999957</v>
      </c>
      <c r="F40" s="12">
        <v>28142</v>
      </c>
      <c r="G40">
        <f t="shared" si="3"/>
        <v>1159.538524927915</v>
      </c>
      <c r="H40" t="s">
        <v>33</v>
      </c>
      <c r="J40">
        <v>111</v>
      </c>
      <c r="K40" t="s">
        <v>25</v>
      </c>
      <c r="L40" t="s">
        <v>2</v>
      </c>
      <c r="M40">
        <v>2.427E-2</v>
      </c>
      <c r="N40">
        <v>24.27</v>
      </c>
      <c r="O40">
        <v>28142</v>
      </c>
      <c r="P40">
        <v>1159.5385249999999</v>
      </c>
      <c r="Q40" t="s">
        <v>33</v>
      </c>
      <c r="W40">
        <v>1369.8014629049001</v>
      </c>
      <c r="AO40" t="s">
        <v>69</v>
      </c>
      <c r="AP40">
        <v>1413.6878999999999</v>
      </c>
    </row>
    <row r="41" spans="1:42" x14ac:dyDescent="0.2">
      <c r="A41">
        <v>113</v>
      </c>
      <c r="B41" t="s">
        <v>29</v>
      </c>
      <c r="C41" t="s">
        <v>3</v>
      </c>
      <c r="D41">
        <v>1.8169999999999575E-2</v>
      </c>
      <c r="E41">
        <f t="shared" si="2"/>
        <v>18.169999999999575</v>
      </c>
      <c r="F41" s="12">
        <v>17904.8</v>
      </c>
      <c r="G41">
        <f t="shared" si="3"/>
        <v>985.40451293342971</v>
      </c>
      <c r="H41" t="s">
        <v>27</v>
      </c>
      <c r="J41">
        <v>113</v>
      </c>
      <c r="K41" t="s">
        <v>29</v>
      </c>
      <c r="L41" t="s">
        <v>3</v>
      </c>
      <c r="M41">
        <v>1.8169999999999999E-2</v>
      </c>
      <c r="N41">
        <v>18.170000000000002</v>
      </c>
      <c r="O41">
        <v>17904.8</v>
      </c>
      <c r="P41">
        <v>985.40451289999999</v>
      </c>
      <c r="Q41" t="s">
        <v>27</v>
      </c>
      <c r="W41">
        <v>982.10595446590787</v>
      </c>
      <c r="AO41" t="s">
        <v>92</v>
      </c>
      <c r="AP41">
        <v>535.71014000000002</v>
      </c>
    </row>
    <row r="42" spans="1:42" x14ac:dyDescent="0.2">
      <c r="A42">
        <v>120</v>
      </c>
      <c r="B42" t="s">
        <v>25</v>
      </c>
      <c r="C42" t="s">
        <v>3</v>
      </c>
      <c r="D42">
        <v>2.2030000000000882E-2</v>
      </c>
      <c r="E42">
        <f t="shared" si="2"/>
        <v>22.030000000000882</v>
      </c>
      <c r="F42" s="12">
        <v>19629.5</v>
      </c>
      <c r="G42">
        <f t="shared" si="3"/>
        <v>891.03495233768558</v>
      </c>
      <c r="H42" t="s">
        <v>33</v>
      </c>
      <c r="J42">
        <v>120</v>
      </c>
      <c r="K42" t="s">
        <v>25</v>
      </c>
      <c r="L42" t="s">
        <v>3</v>
      </c>
      <c r="M42">
        <v>2.2030000000000001E-2</v>
      </c>
      <c r="N42">
        <v>22.03</v>
      </c>
      <c r="O42">
        <v>19629.5</v>
      </c>
      <c r="P42">
        <v>891.03495229999999</v>
      </c>
      <c r="Q42" t="s">
        <v>33</v>
      </c>
      <c r="W42">
        <v>997.46761658031744</v>
      </c>
      <c r="AO42" t="s">
        <v>93</v>
      </c>
      <c r="AP42">
        <v>85.782275999999996</v>
      </c>
    </row>
    <row r="43" spans="1:42" x14ac:dyDescent="0.2">
      <c r="A43">
        <v>121</v>
      </c>
      <c r="B43" t="s">
        <v>25</v>
      </c>
      <c r="C43" t="s">
        <v>3</v>
      </c>
      <c r="D43">
        <v>2.0490000000000563E-2</v>
      </c>
      <c r="E43">
        <f t="shared" si="2"/>
        <v>20.490000000000563</v>
      </c>
      <c r="F43" s="12">
        <v>39367.300000000003</v>
      </c>
      <c r="G43" s="23">
        <f t="shared" si="3"/>
        <v>1921.2933138115627</v>
      </c>
      <c r="H43" t="s">
        <v>33</v>
      </c>
      <c r="J43">
        <v>121</v>
      </c>
      <c r="K43" t="s">
        <v>25</v>
      </c>
      <c r="L43" t="s">
        <v>3</v>
      </c>
      <c r="M43">
        <v>2.0490000000000001E-2</v>
      </c>
      <c r="N43">
        <v>20.49</v>
      </c>
      <c r="O43">
        <v>39367.300000000003</v>
      </c>
      <c r="Q43" t="s">
        <v>33</v>
      </c>
      <c r="S43" s="19"/>
      <c r="T43" s="19"/>
      <c r="U43" s="19"/>
      <c r="AO43" t="s">
        <v>94</v>
      </c>
      <c r="AP43">
        <v>1587.3451</v>
      </c>
    </row>
    <row r="44" spans="1:42" x14ac:dyDescent="0.2">
      <c r="A44">
        <v>122</v>
      </c>
      <c r="B44" t="s">
        <v>29</v>
      </c>
      <c r="C44" t="s">
        <v>3</v>
      </c>
      <c r="D44">
        <v>1.9090000000000273E-2</v>
      </c>
      <c r="E44">
        <f t="shared" si="2"/>
        <v>19.090000000000273</v>
      </c>
      <c r="F44" s="12">
        <v>34388.300000000003</v>
      </c>
      <c r="G44">
        <f t="shared" si="3"/>
        <v>1801.3776846516243</v>
      </c>
      <c r="H44" t="s">
        <v>33</v>
      </c>
      <c r="J44">
        <v>122</v>
      </c>
      <c r="K44" t="s">
        <v>29</v>
      </c>
      <c r="L44" t="s">
        <v>3</v>
      </c>
      <c r="M44">
        <v>1.9089999999999999E-2</v>
      </c>
      <c r="N44">
        <v>19.09</v>
      </c>
      <c r="O44">
        <v>34388.300000000003</v>
      </c>
      <c r="P44">
        <v>1801.3776849999999</v>
      </c>
      <c r="Q44" t="s">
        <v>33</v>
      </c>
      <c r="AO44" t="s">
        <v>95</v>
      </c>
      <c r="AP44">
        <v>1240.0308</v>
      </c>
    </row>
    <row r="45" spans="1:42" x14ac:dyDescent="0.2">
      <c r="A45">
        <v>126</v>
      </c>
      <c r="B45" t="s">
        <v>25</v>
      </c>
      <c r="C45" t="s">
        <v>3</v>
      </c>
      <c r="D45">
        <v>1.4190000000001035E-2</v>
      </c>
      <c r="E45">
        <f t="shared" si="2"/>
        <v>14.190000000001035</v>
      </c>
      <c r="F45" s="12">
        <v>18311.400000000001</v>
      </c>
      <c r="G45">
        <f t="shared" si="3"/>
        <v>1290.4439746299272</v>
      </c>
      <c r="H45" t="s">
        <v>27</v>
      </c>
      <c r="J45">
        <v>126</v>
      </c>
      <c r="K45" t="s">
        <v>25</v>
      </c>
      <c r="L45" t="s">
        <v>3</v>
      </c>
      <c r="M45">
        <v>1.4189999999999999E-2</v>
      </c>
      <c r="N45">
        <v>14.19</v>
      </c>
      <c r="O45">
        <v>18311.400000000001</v>
      </c>
      <c r="P45">
        <v>1290.4439749999999</v>
      </c>
      <c r="Q45" t="s">
        <v>27</v>
      </c>
      <c r="AO45" t="s">
        <v>96</v>
      </c>
      <c r="AP45">
        <v>39</v>
      </c>
    </row>
    <row r="46" spans="1:42" x14ac:dyDescent="0.2">
      <c r="A46">
        <v>128</v>
      </c>
      <c r="B46" t="s">
        <v>25</v>
      </c>
      <c r="C46" t="s">
        <v>2</v>
      </c>
      <c r="D46">
        <v>2.1290000000000475E-2</v>
      </c>
      <c r="E46">
        <f t="shared" si="2"/>
        <v>21.290000000000475</v>
      </c>
      <c r="F46" s="12">
        <v>22366.799999999999</v>
      </c>
      <c r="G46">
        <f t="shared" si="3"/>
        <v>1050.57773602628</v>
      </c>
      <c r="H46" t="s">
        <v>33</v>
      </c>
      <c r="J46">
        <v>128</v>
      </c>
      <c r="K46" t="s">
        <v>25</v>
      </c>
      <c r="L46" t="s">
        <v>2</v>
      </c>
      <c r="M46">
        <v>2.129E-2</v>
      </c>
      <c r="N46">
        <v>21.29</v>
      </c>
      <c r="O46">
        <v>22366.799999999999</v>
      </c>
      <c r="P46">
        <v>1050.577736</v>
      </c>
      <c r="Q46" t="s">
        <v>33</v>
      </c>
    </row>
    <row r="47" spans="1:42" x14ac:dyDescent="0.2">
      <c r="A47">
        <v>130</v>
      </c>
      <c r="B47" t="s">
        <v>25</v>
      </c>
      <c r="C47" t="s">
        <v>2</v>
      </c>
      <c r="D47">
        <v>2.055999999999969E-2</v>
      </c>
      <c r="E47">
        <f t="shared" si="2"/>
        <v>20.55999999999969</v>
      </c>
      <c r="F47" s="12">
        <v>9403.2999999999993</v>
      </c>
      <c r="G47">
        <f t="shared" si="3"/>
        <v>457.35894941634928</v>
      </c>
      <c r="H47" t="s">
        <v>33</v>
      </c>
      <c r="J47">
        <v>130</v>
      </c>
      <c r="K47" t="s">
        <v>25</v>
      </c>
      <c r="L47" t="s">
        <v>2</v>
      </c>
      <c r="M47">
        <v>2.0559999999999998E-2</v>
      </c>
      <c r="N47">
        <v>20.56</v>
      </c>
      <c r="O47">
        <v>9403.2999999999993</v>
      </c>
      <c r="P47">
        <v>457.35894939999997</v>
      </c>
      <c r="Q47" t="s">
        <v>33</v>
      </c>
    </row>
    <row r="48" spans="1:42" x14ac:dyDescent="0.2">
      <c r="A48">
        <v>131</v>
      </c>
      <c r="B48" t="s">
        <v>25</v>
      </c>
      <c r="C48" t="s">
        <v>2</v>
      </c>
      <c r="D48">
        <v>2.1649999999999281E-2</v>
      </c>
      <c r="E48">
        <f t="shared" si="2"/>
        <v>21.649999999999281</v>
      </c>
      <c r="F48" s="12">
        <v>22773.8</v>
      </c>
      <c r="G48">
        <f t="shared" si="3"/>
        <v>1051.907621247148</v>
      </c>
      <c r="H48" t="s">
        <v>27</v>
      </c>
      <c r="J48">
        <v>131</v>
      </c>
      <c r="K48" t="s">
        <v>25</v>
      </c>
      <c r="L48" t="s">
        <v>2</v>
      </c>
      <c r="M48">
        <v>2.1649999999999999E-2</v>
      </c>
      <c r="N48">
        <v>21.65</v>
      </c>
      <c r="O48">
        <v>22773.8</v>
      </c>
      <c r="P48">
        <v>1051.9076210000001</v>
      </c>
      <c r="Q48" t="s">
        <v>27</v>
      </c>
    </row>
    <row r="49" spans="1:42" x14ac:dyDescent="0.2">
      <c r="A49">
        <v>132</v>
      </c>
      <c r="B49" t="s">
        <v>25</v>
      </c>
      <c r="C49" t="s">
        <v>2</v>
      </c>
      <c r="D49">
        <v>1.9770000000001176E-2</v>
      </c>
      <c r="E49">
        <f t="shared" si="2"/>
        <v>19.770000000001176</v>
      </c>
      <c r="F49" s="12">
        <v>28315.7</v>
      </c>
      <c r="G49">
        <f t="shared" si="3"/>
        <v>1432.2559433484228</v>
      </c>
      <c r="H49" t="s">
        <v>27</v>
      </c>
      <c r="J49">
        <v>132</v>
      </c>
      <c r="K49" t="s">
        <v>25</v>
      </c>
      <c r="L49" t="s">
        <v>2</v>
      </c>
      <c r="M49">
        <v>1.9769999999999999E-2</v>
      </c>
      <c r="N49">
        <v>19.77</v>
      </c>
      <c r="O49">
        <v>28315.7</v>
      </c>
      <c r="P49">
        <v>1432.2559429999999</v>
      </c>
      <c r="Q49" t="s">
        <v>27</v>
      </c>
    </row>
    <row r="50" spans="1:42" x14ac:dyDescent="0.2">
      <c r="A50">
        <v>135</v>
      </c>
      <c r="B50" t="s">
        <v>35</v>
      </c>
      <c r="C50" t="s">
        <v>3</v>
      </c>
      <c r="D50">
        <v>1.9349999999999312E-2</v>
      </c>
      <c r="E50">
        <f t="shared" si="2"/>
        <v>19.349999999999312</v>
      </c>
      <c r="F50" s="12">
        <v>30943.200000000001</v>
      </c>
      <c r="G50">
        <f t="shared" si="3"/>
        <v>1599.1317829457932</v>
      </c>
      <c r="H50" t="s">
        <v>27</v>
      </c>
      <c r="J50">
        <v>135</v>
      </c>
      <c r="K50" t="s">
        <v>35</v>
      </c>
      <c r="L50" t="s">
        <v>3</v>
      </c>
      <c r="M50">
        <v>1.9349999999999999E-2</v>
      </c>
      <c r="N50">
        <v>19.350000000000001</v>
      </c>
      <c r="O50">
        <v>30943.200000000001</v>
      </c>
      <c r="P50">
        <v>1599.131783</v>
      </c>
      <c r="Q50" t="s">
        <v>27</v>
      </c>
      <c r="AO50" t="s">
        <v>102</v>
      </c>
    </row>
    <row r="51" spans="1:42" x14ac:dyDescent="0.2">
      <c r="A51">
        <v>138</v>
      </c>
      <c r="B51" t="s">
        <v>35</v>
      </c>
      <c r="C51" t="s">
        <v>3</v>
      </c>
      <c r="D51">
        <v>2.2649999999998727E-2</v>
      </c>
      <c r="E51">
        <f t="shared" si="2"/>
        <v>22.649999999998727</v>
      </c>
      <c r="F51" s="12">
        <v>39623.5</v>
      </c>
      <c r="G51">
        <f t="shared" si="3"/>
        <v>1749.3818984548445</v>
      </c>
      <c r="H51" t="s">
        <v>27</v>
      </c>
      <c r="J51">
        <v>138</v>
      </c>
      <c r="K51" t="s">
        <v>35</v>
      </c>
      <c r="L51" t="s">
        <v>3</v>
      </c>
      <c r="M51">
        <v>2.265E-2</v>
      </c>
      <c r="N51">
        <v>22.65</v>
      </c>
      <c r="O51">
        <v>39623.5</v>
      </c>
      <c r="P51">
        <v>1749.3818980000001</v>
      </c>
      <c r="Q51" t="s">
        <v>27</v>
      </c>
    </row>
    <row r="52" spans="1:42" x14ac:dyDescent="0.2">
      <c r="A52">
        <v>141</v>
      </c>
      <c r="B52" t="s">
        <v>29</v>
      </c>
      <c r="C52" t="s">
        <v>2</v>
      </c>
      <c r="D52">
        <v>1.807999999999943E-2</v>
      </c>
      <c r="E52">
        <f t="shared" si="2"/>
        <v>18.07999999999943</v>
      </c>
      <c r="F52" s="12">
        <v>32909.599999999999</v>
      </c>
      <c r="G52">
        <f t="shared" si="3"/>
        <v>1820.2212389381104</v>
      </c>
      <c r="H52" t="s">
        <v>33</v>
      </c>
      <c r="J52">
        <v>141</v>
      </c>
      <c r="K52" t="s">
        <v>29</v>
      </c>
      <c r="L52" t="s">
        <v>2</v>
      </c>
      <c r="M52">
        <v>1.8079999999999999E-2</v>
      </c>
      <c r="N52">
        <v>18.079999999999998</v>
      </c>
      <c r="O52">
        <v>32909.599999999999</v>
      </c>
      <c r="P52">
        <v>1820.221239</v>
      </c>
      <c r="Q52" t="s">
        <v>33</v>
      </c>
    </row>
    <row r="53" spans="1:42" x14ac:dyDescent="0.2">
      <c r="A53">
        <v>147</v>
      </c>
      <c r="B53" t="s">
        <v>29</v>
      </c>
      <c r="C53" t="s">
        <v>2</v>
      </c>
      <c r="D53">
        <v>2.0699999999999719E-2</v>
      </c>
      <c r="E53">
        <f t="shared" si="2"/>
        <v>20.699999999999719</v>
      </c>
      <c r="F53" s="12">
        <v>31872.3</v>
      </c>
      <c r="G53">
        <f t="shared" si="3"/>
        <v>1539.7246376811804</v>
      </c>
      <c r="H53" t="s">
        <v>33</v>
      </c>
      <c r="J53">
        <v>147</v>
      </c>
      <c r="K53" t="s">
        <v>29</v>
      </c>
      <c r="L53" t="s">
        <v>2</v>
      </c>
      <c r="M53">
        <v>2.07E-2</v>
      </c>
      <c r="N53">
        <v>20.7</v>
      </c>
      <c r="O53">
        <v>31872.3</v>
      </c>
      <c r="P53">
        <v>1539.7246379999999</v>
      </c>
      <c r="Q53" t="s">
        <v>33</v>
      </c>
      <c r="AO53" t="s">
        <v>60</v>
      </c>
    </row>
    <row r="54" spans="1:42" x14ac:dyDescent="0.2">
      <c r="A54">
        <v>150</v>
      </c>
      <c r="B54" t="s">
        <v>25</v>
      </c>
      <c r="C54" t="s">
        <v>2</v>
      </c>
      <c r="D54">
        <v>2.210999999999963E-2</v>
      </c>
      <c r="E54">
        <f t="shared" si="2"/>
        <v>22.10999999999963</v>
      </c>
      <c r="F54" s="12">
        <v>24827.8</v>
      </c>
      <c r="G54">
        <f t="shared" si="3"/>
        <v>1122.921754862072</v>
      </c>
      <c r="H54" t="s">
        <v>33</v>
      </c>
      <c r="J54">
        <v>150</v>
      </c>
      <c r="K54" t="s">
        <v>25</v>
      </c>
      <c r="L54" t="s">
        <v>2</v>
      </c>
      <c r="M54">
        <v>2.2110000000000001E-2</v>
      </c>
      <c r="N54">
        <v>22.11</v>
      </c>
      <c r="O54">
        <v>24827.8</v>
      </c>
      <c r="P54">
        <v>1122.9217550000001</v>
      </c>
      <c r="Q54" t="s">
        <v>33</v>
      </c>
    </row>
    <row r="55" spans="1:42" x14ac:dyDescent="0.2">
      <c r="A55">
        <v>157</v>
      </c>
      <c r="B55" t="s">
        <v>35</v>
      </c>
      <c r="C55" t="s">
        <v>3</v>
      </c>
      <c r="D55">
        <v>2.2850000000000037E-2</v>
      </c>
      <c r="E55">
        <f t="shared" si="2"/>
        <v>22.850000000000037</v>
      </c>
      <c r="F55" s="12">
        <v>38374.6</v>
      </c>
      <c r="G55">
        <f t="shared" si="3"/>
        <v>1679.4135667396033</v>
      </c>
      <c r="H55" t="s">
        <v>27</v>
      </c>
      <c r="J55">
        <v>157</v>
      </c>
      <c r="K55" t="s">
        <v>35</v>
      </c>
      <c r="L55" t="s">
        <v>3</v>
      </c>
      <c r="M55">
        <v>2.2849999999999999E-2</v>
      </c>
      <c r="N55">
        <v>22.85</v>
      </c>
      <c r="O55">
        <v>38374.6</v>
      </c>
      <c r="P55">
        <v>1679.4135670000001</v>
      </c>
      <c r="Q55" t="s">
        <v>27</v>
      </c>
    </row>
    <row r="56" spans="1:42" x14ac:dyDescent="0.2">
      <c r="A56">
        <v>158</v>
      </c>
      <c r="B56" t="s">
        <v>29</v>
      </c>
      <c r="C56" t="s">
        <v>3</v>
      </c>
      <c r="D56">
        <v>1.9059999999999633E-2</v>
      </c>
      <c r="E56">
        <f t="shared" si="2"/>
        <v>19.059999999999633</v>
      </c>
      <c r="F56" s="12">
        <v>63069.4</v>
      </c>
      <c r="G56" s="23">
        <f t="shared" si="3"/>
        <v>3308.9926547744603</v>
      </c>
      <c r="H56" t="s">
        <v>27</v>
      </c>
      <c r="J56">
        <v>158</v>
      </c>
      <c r="K56" t="s">
        <v>29</v>
      </c>
      <c r="L56" t="s">
        <v>3</v>
      </c>
      <c r="M56">
        <v>1.9060000000000001E-2</v>
      </c>
      <c r="N56">
        <v>19.059999999999999</v>
      </c>
      <c r="O56">
        <v>63069.4</v>
      </c>
      <c r="Q56" t="s">
        <v>27</v>
      </c>
    </row>
    <row r="57" spans="1:42" x14ac:dyDescent="0.2">
      <c r="A57">
        <v>159</v>
      </c>
      <c r="B57" t="s">
        <v>29</v>
      </c>
      <c r="C57" t="s">
        <v>2</v>
      </c>
      <c r="D57">
        <v>2.5639999999999219E-2</v>
      </c>
      <c r="E57">
        <f t="shared" si="2"/>
        <v>25.639999999999219</v>
      </c>
      <c r="F57" s="12">
        <v>27677</v>
      </c>
      <c r="G57">
        <f t="shared" si="3"/>
        <v>1079.4461778471468</v>
      </c>
      <c r="H57" t="s">
        <v>27</v>
      </c>
      <c r="J57">
        <v>159</v>
      </c>
      <c r="K57" t="s">
        <v>29</v>
      </c>
      <c r="L57" t="s">
        <v>2</v>
      </c>
      <c r="M57">
        <v>2.564E-2</v>
      </c>
      <c r="N57">
        <v>25.64</v>
      </c>
      <c r="O57">
        <v>27677</v>
      </c>
      <c r="P57">
        <v>1079.4461779999999</v>
      </c>
      <c r="Q57" t="s">
        <v>27</v>
      </c>
    </row>
    <row r="58" spans="1:42" x14ac:dyDescent="0.2">
      <c r="A58">
        <v>164</v>
      </c>
      <c r="B58" t="s">
        <v>29</v>
      </c>
      <c r="C58" t="s">
        <v>3</v>
      </c>
      <c r="D58">
        <v>2.4140000000000938E-2</v>
      </c>
      <c r="E58">
        <f t="shared" si="2"/>
        <v>24.140000000000938</v>
      </c>
      <c r="F58" s="12">
        <v>22118.2</v>
      </c>
      <c r="G58">
        <f t="shared" si="3"/>
        <v>916.24689312341093</v>
      </c>
      <c r="H58" t="s">
        <v>27</v>
      </c>
      <c r="J58">
        <v>164</v>
      </c>
      <c r="K58" t="s">
        <v>29</v>
      </c>
      <c r="L58" t="s">
        <v>3</v>
      </c>
      <c r="M58">
        <v>2.4140000000000002E-2</v>
      </c>
      <c r="N58">
        <v>24.14</v>
      </c>
      <c r="O58">
        <v>22118.2</v>
      </c>
      <c r="P58">
        <v>916.24689309999997</v>
      </c>
      <c r="Q58" t="s">
        <v>27</v>
      </c>
    </row>
    <row r="59" spans="1:42" x14ac:dyDescent="0.2">
      <c r="A59">
        <v>165</v>
      </c>
      <c r="B59" t="s">
        <v>35</v>
      </c>
      <c r="C59" t="s">
        <v>2</v>
      </c>
      <c r="D59">
        <v>2.1340000000000359E-2</v>
      </c>
      <c r="E59">
        <f t="shared" si="2"/>
        <v>21.340000000000359</v>
      </c>
      <c r="F59" s="12">
        <v>48115.6</v>
      </c>
      <c r="G59">
        <f t="shared" si="3"/>
        <v>2254.7141518275157</v>
      </c>
      <c r="H59" t="s">
        <v>27</v>
      </c>
      <c r="J59">
        <v>165</v>
      </c>
      <c r="K59" t="s">
        <v>35</v>
      </c>
      <c r="L59" t="s">
        <v>2</v>
      </c>
      <c r="M59">
        <v>2.1340000000000001E-2</v>
      </c>
      <c r="N59">
        <v>21.34</v>
      </c>
      <c r="O59">
        <v>48115.6</v>
      </c>
      <c r="P59">
        <v>2254.714152</v>
      </c>
      <c r="Q59" t="s">
        <v>27</v>
      </c>
      <c r="AO59" t="s">
        <v>90</v>
      </c>
    </row>
    <row r="60" spans="1:42" x14ac:dyDescent="0.2">
      <c r="A60">
        <v>166</v>
      </c>
      <c r="B60" t="s">
        <v>35</v>
      </c>
      <c r="C60" t="s">
        <v>2</v>
      </c>
      <c r="D60">
        <v>2.1810000000000329E-2</v>
      </c>
      <c r="E60">
        <f t="shared" si="2"/>
        <v>21.810000000000329</v>
      </c>
      <c r="F60" s="12">
        <v>24680.1</v>
      </c>
      <c r="G60">
        <f t="shared" si="3"/>
        <v>1131.5955983493639</v>
      </c>
      <c r="H60" t="s">
        <v>27</v>
      </c>
      <c r="J60">
        <v>166</v>
      </c>
      <c r="K60" t="s">
        <v>35</v>
      </c>
      <c r="L60" t="s">
        <v>2</v>
      </c>
      <c r="M60">
        <v>2.181E-2</v>
      </c>
      <c r="N60">
        <v>21.81</v>
      </c>
      <c r="O60">
        <v>24680.1</v>
      </c>
      <c r="P60">
        <v>1131.5955980000001</v>
      </c>
      <c r="Q60" t="s">
        <v>27</v>
      </c>
    </row>
    <row r="61" spans="1:42" x14ac:dyDescent="0.2">
      <c r="A61">
        <v>169</v>
      </c>
      <c r="B61" t="s">
        <v>29</v>
      </c>
      <c r="C61" t="s">
        <v>2</v>
      </c>
      <c r="D61">
        <v>1.9489999999999341E-2</v>
      </c>
      <c r="E61">
        <f t="shared" si="2"/>
        <v>19.489999999999341</v>
      </c>
      <c r="F61" s="12">
        <v>30618.7</v>
      </c>
      <c r="G61">
        <f t="shared" si="3"/>
        <v>1570.9953822473594</v>
      </c>
      <c r="H61" t="s">
        <v>27</v>
      </c>
      <c r="J61">
        <v>169</v>
      </c>
      <c r="K61" t="s">
        <v>29</v>
      </c>
      <c r="L61" t="s">
        <v>2</v>
      </c>
      <c r="M61">
        <v>1.949E-2</v>
      </c>
      <c r="N61">
        <v>19.489999999999998</v>
      </c>
      <c r="O61">
        <v>30618.7</v>
      </c>
      <c r="P61">
        <v>1570.9953820000001</v>
      </c>
      <c r="Q61" t="s">
        <v>27</v>
      </c>
      <c r="AO61" t="s">
        <v>91</v>
      </c>
      <c r="AP61" t="s">
        <v>91</v>
      </c>
    </row>
    <row r="62" spans="1:42" x14ac:dyDescent="0.2">
      <c r="A62">
        <v>172</v>
      </c>
      <c r="B62" t="s">
        <v>29</v>
      </c>
      <c r="C62" t="s">
        <v>2</v>
      </c>
      <c r="D62">
        <v>1.9809999999999661E-2</v>
      </c>
      <c r="E62">
        <f t="shared" si="2"/>
        <v>19.809999999999661</v>
      </c>
      <c r="F62" s="12">
        <v>37680.699999999997</v>
      </c>
      <c r="G62">
        <f t="shared" si="3"/>
        <v>1902.1049974760547</v>
      </c>
      <c r="H62" t="s">
        <v>33</v>
      </c>
      <c r="J62">
        <v>172</v>
      </c>
      <c r="K62" t="s">
        <v>29</v>
      </c>
      <c r="L62" t="s">
        <v>2</v>
      </c>
      <c r="M62">
        <v>1.9810000000000001E-2</v>
      </c>
      <c r="N62">
        <v>19.809999999999999</v>
      </c>
      <c r="O62">
        <v>37680.699999999997</v>
      </c>
      <c r="P62">
        <v>1902.1049969999999</v>
      </c>
      <c r="Q62" t="s">
        <v>33</v>
      </c>
      <c r="AO62" t="s">
        <v>69</v>
      </c>
      <c r="AP62">
        <v>1308.7136</v>
      </c>
    </row>
    <row r="63" spans="1:42" x14ac:dyDescent="0.2">
      <c r="A63">
        <v>177</v>
      </c>
      <c r="B63" t="s">
        <v>25</v>
      </c>
      <c r="C63" t="s">
        <v>3</v>
      </c>
      <c r="D63">
        <v>2.1539999999999893E-2</v>
      </c>
      <c r="E63">
        <f t="shared" si="2"/>
        <v>21.539999999999893</v>
      </c>
      <c r="F63" s="12">
        <v>23331</v>
      </c>
      <c r="G63">
        <f t="shared" si="3"/>
        <v>1083.1476323119832</v>
      </c>
      <c r="H63" t="s">
        <v>33</v>
      </c>
      <c r="J63">
        <v>177</v>
      </c>
      <c r="K63" t="s">
        <v>25</v>
      </c>
      <c r="L63" t="s">
        <v>3</v>
      </c>
      <c r="M63">
        <v>2.154E-2</v>
      </c>
      <c r="N63">
        <v>21.54</v>
      </c>
      <c r="O63">
        <v>23331</v>
      </c>
      <c r="P63">
        <v>1083.1476319999999</v>
      </c>
      <c r="Q63" t="s">
        <v>33</v>
      </c>
      <c r="AO63" t="s">
        <v>92</v>
      </c>
      <c r="AP63">
        <v>472.85654</v>
      </c>
    </row>
    <row r="64" spans="1:42" x14ac:dyDescent="0.2">
      <c r="A64">
        <v>181</v>
      </c>
      <c r="B64" t="s">
        <v>29</v>
      </c>
      <c r="C64" t="s">
        <v>3</v>
      </c>
      <c r="D64">
        <v>1.9149999999999778E-2</v>
      </c>
      <c r="E64">
        <f t="shared" si="2"/>
        <v>19.149999999999778</v>
      </c>
      <c r="F64" s="12">
        <v>31341.8</v>
      </c>
      <c r="G64">
        <f t="shared" si="3"/>
        <v>1636.6475195822643</v>
      </c>
      <c r="H64" t="s">
        <v>33</v>
      </c>
      <c r="J64">
        <v>181</v>
      </c>
      <c r="K64" t="s">
        <v>29</v>
      </c>
      <c r="L64" t="s">
        <v>3</v>
      </c>
      <c r="M64">
        <v>1.915E-2</v>
      </c>
      <c r="N64">
        <v>19.149999999999999</v>
      </c>
      <c r="O64">
        <v>31341.8</v>
      </c>
      <c r="P64">
        <v>1636.64752</v>
      </c>
      <c r="Q64" t="s">
        <v>33</v>
      </c>
      <c r="AO64" t="s">
        <v>93</v>
      </c>
      <c r="AP64">
        <v>98.597403999999997</v>
      </c>
    </row>
    <row r="65" spans="1:42" x14ac:dyDescent="0.2">
      <c r="A65">
        <v>183</v>
      </c>
      <c r="B65" t="s">
        <v>25</v>
      </c>
      <c r="C65" t="s">
        <v>3</v>
      </c>
      <c r="D65">
        <v>2.1419999999999106E-2</v>
      </c>
      <c r="E65">
        <f t="shared" si="2"/>
        <v>21.419999999999106</v>
      </c>
      <c r="F65" s="12">
        <v>31371.7</v>
      </c>
      <c r="G65">
        <f t="shared" si="3"/>
        <v>1464.5985060691555</v>
      </c>
      <c r="H65" t="s">
        <v>27</v>
      </c>
      <c r="J65">
        <v>183</v>
      </c>
      <c r="K65" t="s">
        <v>25</v>
      </c>
      <c r="L65" t="s">
        <v>3</v>
      </c>
      <c r="M65">
        <v>2.1420000000000002E-2</v>
      </c>
      <c r="N65">
        <v>21.42</v>
      </c>
      <c r="O65">
        <v>31371.7</v>
      </c>
      <c r="P65">
        <v>1464.598506</v>
      </c>
      <c r="Q65" t="s">
        <v>27</v>
      </c>
      <c r="AO65" t="s">
        <v>94</v>
      </c>
      <c r="AP65">
        <v>1513.1921</v>
      </c>
    </row>
    <row r="66" spans="1:42" x14ac:dyDescent="0.2">
      <c r="A66">
        <v>185</v>
      </c>
      <c r="B66" t="s">
        <v>25</v>
      </c>
      <c r="C66" t="s">
        <v>3</v>
      </c>
      <c r="D66">
        <v>2.2879999999998901E-2</v>
      </c>
      <c r="E66">
        <f t="shared" si="2"/>
        <v>22.879999999998901</v>
      </c>
      <c r="F66" s="12">
        <v>23367.599999999999</v>
      </c>
      <c r="G66">
        <f t="shared" si="3"/>
        <v>1021.3111888112378</v>
      </c>
      <c r="H66" t="s">
        <v>33</v>
      </c>
      <c r="J66">
        <v>185</v>
      </c>
      <c r="K66" t="s">
        <v>25</v>
      </c>
      <c r="L66" t="s">
        <v>3</v>
      </c>
      <c r="M66">
        <v>2.2880000000000001E-2</v>
      </c>
      <c r="N66">
        <v>22.88</v>
      </c>
      <c r="O66">
        <v>23367.599999999999</v>
      </c>
      <c r="P66">
        <v>1021.311189</v>
      </c>
      <c r="Q66" t="s">
        <v>33</v>
      </c>
      <c r="AO66" t="s">
        <v>95</v>
      </c>
      <c r="AP66">
        <v>1104.2351000000001</v>
      </c>
    </row>
    <row r="67" spans="1:42" x14ac:dyDescent="0.2">
      <c r="A67">
        <v>186</v>
      </c>
      <c r="B67" t="s">
        <v>25</v>
      </c>
      <c r="C67" t="s">
        <v>3</v>
      </c>
      <c r="D67">
        <v>2.4850000000000705E-2</v>
      </c>
      <c r="E67">
        <f t="shared" si="2"/>
        <v>24.850000000000705</v>
      </c>
      <c r="F67" s="12">
        <v>38425</v>
      </c>
      <c r="G67">
        <f t="shared" si="3"/>
        <v>1546.277665995932</v>
      </c>
      <c r="H67" t="s">
        <v>27</v>
      </c>
      <c r="J67">
        <v>186</v>
      </c>
      <c r="K67" t="s">
        <v>25</v>
      </c>
      <c r="L67" t="s">
        <v>3</v>
      </c>
      <c r="M67">
        <v>2.4850000000000001E-2</v>
      </c>
      <c r="N67">
        <v>24.85</v>
      </c>
      <c r="O67">
        <v>38425</v>
      </c>
      <c r="P67">
        <v>1546.277666</v>
      </c>
      <c r="Q67" t="s">
        <v>27</v>
      </c>
      <c r="AO67" t="s">
        <v>96</v>
      </c>
      <c r="AP67">
        <v>23</v>
      </c>
    </row>
    <row r="68" spans="1:42" x14ac:dyDescent="0.2">
      <c r="A68">
        <v>189</v>
      </c>
      <c r="B68" t="s">
        <v>35</v>
      </c>
      <c r="C68" t="s">
        <v>3</v>
      </c>
      <c r="D68">
        <v>1.7330000000001178E-2</v>
      </c>
      <c r="E68">
        <f t="shared" ref="E68:E99" si="4">D68*1000</f>
        <v>17.330000000001178</v>
      </c>
      <c r="F68" s="12">
        <v>20137.5</v>
      </c>
      <c r="G68">
        <f t="shared" ref="G68:G99" si="5">F68/E68</f>
        <v>1162.002308136101</v>
      </c>
      <c r="H68" t="s">
        <v>27</v>
      </c>
      <c r="J68">
        <v>189</v>
      </c>
      <c r="K68" t="s">
        <v>35</v>
      </c>
      <c r="L68" t="s">
        <v>3</v>
      </c>
      <c r="M68">
        <v>1.7330000000000002E-2</v>
      </c>
      <c r="N68">
        <v>17.329999999999998</v>
      </c>
      <c r="O68">
        <v>20137.5</v>
      </c>
      <c r="P68">
        <v>1162.0023080000001</v>
      </c>
      <c r="Q68" t="s">
        <v>27</v>
      </c>
      <c r="X68" t="s">
        <v>260</v>
      </c>
    </row>
    <row r="69" spans="1:42" x14ac:dyDescent="0.2">
      <c r="A69">
        <v>190</v>
      </c>
      <c r="B69" t="s">
        <v>29</v>
      </c>
      <c r="C69" t="s">
        <v>3</v>
      </c>
      <c r="D69">
        <v>1.9729999999999137E-2</v>
      </c>
      <c r="E69">
        <f t="shared" si="4"/>
        <v>19.729999999999137</v>
      </c>
      <c r="F69" s="12">
        <v>24802</v>
      </c>
      <c r="G69">
        <f t="shared" si="5"/>
        <v>1257.070451089766</v>
      </c>
      <c r="H69" t="s">
        <v>27</v>
      </c>
      <c r="J69">
        <v>190</v>
      </c>
      <c r="K69" t="s">
        <v>29</v>
      </c>
      <c r="L69" t="s">
        <v>3</v>
      </c>
      <c r="M69">
        <v>1.9730000000000001E-2</v>
      </c>
      <c r="N69">
        <v>19.73</v>
      </c>
      <c r="O69">
        <v>24802</v>
      </c>
      <c r="P69">
        <v>1257.070451</v>
      </c>
      <c r="Q69" t="s">
        <v>27</v>
      </c>
      <c r="S69" t="s">
        <v>89</v>
      </c>
    </row>
    <row r="70" spans="1:42" x14ac:dyDescent="0.2">
      <c r="A70">
        <v>192</v>
      </c>
      <c r="B70" t="s">
        <v>29</v>
      </c>
      <c r="C70" t="s">
        <v>3</v>
      </c>
      <c r="D70">
        <v>1.953000000000138E-2</v>
      </c>
      <c r="E70">
        <f t="shared" si="4"/>
        <v>19.53000000000138</v>
      </c>
      <c r="F70" s="12">
        <v>26533.599999999999</v>
      </c>
      <c r="G70">
        <f t="shared" si="5"/>
        <v>1358.6072708652393</v>
      </c>
      <c r="H70" t="s">
        <v>33</v>
      </c>
      <c r="J70">
        <v>192</v>
      </c>
      <c r="K70" t="s">
        <v>29</v>
      </c>
      <c r="L70" t="s">
        <v>3</v>
      </c>
      <c r="M70">
        <v>1.9529999999999999E-2</v>
      </c>
      <c r="N70">
        <v>19.53</v>
      </c>
      <c r="O70">
        <v>26533.599999999999</v>
      </c>
      <c r="P70">
        <v>1358.6072710000001</v>
      </c>
      <c r="Q70" t="s">
        <v>33</v>
      </c>
      <c r="S70" t="s">
        <v>60</v>
      </c>
      <c r="X70" t="s">
        <v>1</v>
      </c>
    </row>
    <row r="71" spans="1:42" x14ac:dyDescent="0.2">
      <c r="A71">
        <v>193</v>
      </c>
      <c r="B71" t="s">
        <v>25</v>
      </c>
      <c r="C71" t="s">
        <v>3</v>
      </c>
      <c r="D71">
        <v>2.0969999999998379E-2</v>
      </c>
      <c r="E71">
        <f t="shared" si="4"/>
        <v>20.969999999998379</v>
      </c>
      <c r="F71" s="12">
        <v>25543.1</v>
      </c>
      <c r="G71">
        <f t="shared" si="5"/>
        <v>1218.0782069624213</v>
      </c>
      <c r="H71" t="s">
        <v>33</v>
      </c>
      <c r="J71">
        <v>193</v>
      </c>
      <c r="K71" t="s">
        <v>25</v>
      </c>
      <c r="L71" t="s">
        <v>3</v>
      </c>
      <c r="M71">
        <v>2.0969999999999999E-2</v>
      </c>
      <c r="N71">
        <v>20.97</v>
      </c>
      <c r="O71">
        <v>25543.1</v>
      </c>
      <c r="P71">
        <v>1218.078207</v>
      </c>
      <c r="Q71" t="s">
        <v>33</v>
      </c>
      <c r="S71" t="s">
        <v>124</v>
      </c>
      <c r="X71" t="s">
        <v>202</v>
      </c>
    </row>
    <row r="72" spans="1:42" x14ac:dyDescent="0.2">
      <c r="A72">
        <v>194</v>
      </c>
      <c r="B72" t="s">
        <v>29</v>
      </c>
      <c r="C72" t="s">
        <v>2</v>
      </c>
      <c r="D72">
        <v>2.4799999999999045E-2</v>
      </c>
      <c r="E72">
        <f t="shared" si="4"/>
        <v>24.799999999999045</v>
      </c>
      <c r="F72" s="12">
        <v>68510.899999999994</v>
      </c>
      <c r="G72">
        <f t="shared" si="5"/>
        <v>2762.5362903226869</v>
      </c>
      <c r="H72" t="s">
        <v>33</v>
      </c>
      <c r="J72">
        <v>194</v>
      </c>
      <c r="K72" t="s">
        <v>29</v>
      </c>
      <c r="L72" t="s">
        <v>2</v>
      </c>
      <c r="M72">
        <v>2.4799999999999999E-2</v>
      </c>
      <c r="N72">
        <v>24.8</v>
      </c>
      <c r="O72">
        <v>68510.899999999994</v>
      </c>
      <c r="P72">
        <v>2762.53629</v>
      </c>
      <c r="Q72" t="s">
        <v>33</v>
      </c>
      <c r="AO72" t="s">
        <v>103</v>
      </c>
    </row>
    <row r="73" spans="1:42" x14ac:dyDescent="0.2">
      <c r="A73">
        <v>195</v>
      </c>
      <c r="B73" t="s">
        <v>29</v>
      </c>
      <c r="C73" t="s">
        <v>3</v>
      </c>
      <c r="D73">
        <v>1.7660000000001119E-2</v>
      </c>
      <c r="E73">
        <f t="shared" si="4"/>
        <v>17.660000000001119</v>
      </c>
      <c r="F73" s="12">
        <v>27763.200000000001</v>
      </c>
      <c r="G73">
        <f t="shared" si="5"/>
        <v>1572.0951302377259</v>
      </c>
      <c r="H73" t="s">
        <v>33</v>
      </c>
      <c r="J73">
        <v>195</v>
      </c>
      <c r="K73" t="s">
        <v>29</v>
      </c>
      <c r="L73" t="s">
        <v>3</v>
      </c>
      <c r="M73">
        <v>1.7659999999999999E-2</v>
      </c>
      <c r="N73">
        <v>17.66</v>
      </c>
      <c r="O73">
        <v>27763.200000000001</v>
      </c>
      <c r="P73">
        <v>1572.0951299999999</v>
      </c>
      <c r="Q73" t="s">
        <v>33</v>
      </c>
      <c r="S73" t="s">
        <v>90</v>
      </c>
      <c r="X73" t="s">
        <v>107</v>
      </c>
    </row>
    <row r="74" spans="1:42" x14ac:dyDescent="0.2">
      <c r="A74">
        <v>199</v>
      </c>
      <c r="B74" t="s">
        <v>29</v>
      </c>
      <c r="C74" t="s">
        <v>2</v>
      </c>
      <c r="D74">
        <v>1.991999999999905E-2</v>
      </c>
      <c r="E74">
        <f t="shared" si="4"/>
        <v>19.91999999999905</v>
      </c>
      <c r="F74" s="12">
        <v>37597.1</v>
      </c>
      <c r="G74">
        <f t="shared" si="5"/>
        <v>1887.4046184739855</v>
      </c>
      <c r="H74" t="s">
        <v>33</v>
      </c>
      <c r="J74">
        <v>199</v>
      </c>
      <c r="K74" t="s">
        <v>29</v>
      </c>
      <c r="L74" t="s">
        <v>2</v>
      </c>
      <c r="M74">
        <v>1.992E-2</v>
      </c>
      <c r="N74">
        <v>19.920000000000002</v>
      </c>
      <c r="O74">
        <v>37597.1</v>
      </c>
      <c r="P74">
        <v>1887.404618</v>
      </c>
      <c r="Q74" t="s">
        <v>33</v>
      </c>
      <c r="S74" t="s">
        <v>69</v>
      </c>
      <c r="T74">
        <v>1541.8154999999999</v>
      </c>
      <c r="X74">
        <v>1</v>
      </c>
    </row>
    <row r="75" spans="1:42" x14ac:dyDescent="0.2">
      <c r="A75">
        <v>201</v>
      </c>
      <c r="B75" t="s">
        <v>29</v>
      </c>
      <c r="C75" t="s">
        <v>3</v>
      </c>
      <c r="D75">
        <v>2.2349999999999426E-2</v>
      </c>
      <c r="E75">
        <f t="shared" si="4"/>
        <v>22.349999999999426</v>
      </c>
      <c r="F75" s="12">
        <v>25121.599999999999</v>
      </c>
      <c r="G75">
        <f t="shared" si="5"/>
        <v>1124.00894854589</v>
      </c>
      <c r="H75" t="s">
        <v>27</v>
      </c>
      <c r="J75">
        <v>201</v>
      </c>
      <c r="K75" t="s">
        <v>29</v>
      </c>
      <c r="L75" t="s">
        <v>3</v>
      </c>
      <c r="M75">
        <v>2.2349999999999998E-2</v>
      </c>
      <c r="N75">
        <v>22.35</v>
      </c>
      <c r="O75">
        <v>25121.599999999999</v>
      </c>
      <c r="P75">
        <v>1124.008949</v>
      </c>
      <c r="Q75" t="s">
        <v>27</v>
      </c>
      <c r="S75" t="s">
        <v>92</v>
      </c>
      <c r="T75">
        <v>438.08742999999998</v>
      </c>
      <c r="AO75" t="s">
        <v>60</v>
      </c>
    </row>
    <row r="76" spans="1:42" x14ac:dyDescent="0.2">
      <c r="A76">
        <v>202</v>
      </c>
      <c r="B76" t="s">
        <v>35</v>
      </c>
      <c r="C76" t="s">
        <v>2</v>
      </c>
      <c r="D76">
        <v>2.5610000000000355E-2</v>
      </c>
      <c r="E76">
        <f t="shared" si="4"/>
        <v>25.610000000000355</v>
      </c>
      <c r="F76" s="12">
        <v>34294.1</v>
      </c>
      <c r="G76">
        <f t="shared" si="5"/>
        <v>1339.0901991409419</v>
      </c>
      <c r="H76" t="s">
        <v>27</v>
      </c>
      <c r="J76">
        <v>202</v>
      </c>
      <c r="K76" t="s">
        <v>35</v>
      </c>
      <c r="L76" t="s">
        <v>2</v>
      </c>
      <c r="M76">
        <v>2.5610000000000001E-2</v>
      </c>
      <c r="N76">
        <v>25.61</v>
      </c>
      <c r="O76">
        <v>34294.1</v>
      </c>
      <c r="P76">
        <v>1339.090199</v>
      </c>
      <c r="Q76" t="s">
        <v>27</v>
      </c>
      <c r="S76" t="s">
        <v>93</v>
      </c>
      <c r="T76">
        <v>78.682826000000006</v>
      </c>
    </row>
    <row r="77" spans="1:42" x14ac:dyDescent="0.2">
      <c r="A77">
        <v>205</v>
      </c>
      <c r="B77" t="s">
        <v>25</v>
      </c>
      <c r="C77" t="s">
        <v>2</v>
      </c>
      <c r="D77">
        <v>2.1199999999998553E-2</v>
      </c>
      <c r="E77">
        <f t="shared" si="4"/>
        <v>21.199999999998553</v>
      </c>
      <c r="F77" s="12">
        <v>41946</v>
      </c>
      <c r="G77">
        <f t="shared" si="5"/>
        <v>1978.5849056605123</v>
      </c>
      <c r="H77" t="s">
        <v>33</v>
      </c>
      <c r="J77">
        <v>205</v>
      </c>
      <c r="K77" t="s">
        <v>25</v>
      </c>
      <c r="L77" t="s">
        <v>2</v>
      </c>
      <c r="M77">
        <v>2.12E-2</v>
      </c>
      <c r="N77">
        <v>21.2</v>
      </c>
      <c r="O77">
        <v>41946</v>
      </c>
      <c r="P77">
        <v>1978.584906</v>
      </c>
      <c r="Q77" t="s">
        <v>33</v>
      </c>
      <c r="S77" t="s">
        <v>94</v>
      </c>
      <c r="T77">
        <v>1702.5073</v>
      </c>
      <c r="X77" t="s">
        <v>193</v>
      </c>
    </row>
    <row r="78" spans="1:42" x14ac:dyDescent="0.2">
      <c r="A78">
        <v>208</v>
      </c>
      <c r="B78" t="s">
        <v>29</v>
      </c>
      <c r="C78" t="s">
        <v>3</v>
      </c>
      <c r="D78">
        <v>1.9140000000000157E-2</v>
      </c>
      <c r="E78">
        <f t="shared" si="4"/>
        <v>19.140000000000157</v>
      </c>
      <c r="F78" s="12">
        <v>20214.5</v>
      </c>
      <c r="G78">
        <f t="shared" si="5"/>
        <v>1056.1389759665535</v>
      </c>
      <c r="H78" t="s">
        <v>33</v>
      </c>
      <c r="J78">
        <v>208</v>
      </c>
      <c r="K78" t="s">
        <v>29</v>
      </c>
      <c r="L78" t="s">
        <v>3</v>
      </c>
      <c r="M78">
        <v>1.9140000000000001E-2</v>
      </c>
      <c r="N78">
        <v>19.14</v>
      </c>
      <c r="O78">
        <v>20214.5</v>
      </c>
      <c r="P78">
        <v>1056.138976</v>
      </c>
      <c r="Q78" t="s">
        <v>33</v>
      </c>
      <c r="S78" t="s">
        <v>95</v>
      </c>
      <c r="T78">
        <v>1381.1238000000001</v>
      </c>
    </row>
    <row r="79" spans="1:42" x14ac:dyDescent="0.2">
      <c r="A79">
        <v>209</v>
      </c>
      <c r="B79" t="s">
        <v>25</v>
      </c>
      <c r="C79" t="s">
        <v>3</v>
      </c>
      <c r="D79">
        <v>2.4140000000000938E-2</v>
      </c>
      <c r="E79">
        <f t="shared" si="4"/>
        <v>24.140000000000938</v>
      </c>
      <c r="F79" s="12">
        <v>31504.7</v>
      </c>
      <c r="G79">
        <f t="shared" si="5"/>
        <v>1305.0828500413743</v>
      </c>
      <c r="H79" t="s">
        <v>33</v>
      </c>
      <c r="J79">
        <v>209</v>
      </c>
      <c r="K79" t="s">
        <v>25</v>
      </c>
      <c r="L79" t="s">
        <v>3</v>
      </c>
      <c r="M79">
        <v>2.4140000000000002E-2</v>
      </c>
      <c r="N79">
        <v>24.14</v>
      </c>
      <c r="O79">
        <v>31504.7</v>
      </c>
      <c r="P79">
        <v>1305.08285</v>
      </c>
      <c r="Q79" t="s">
        <v>33</v>
      </c>
      <c r="S79" t="s">
        <v>96</v>
      </c>
      <c r="T79">
        <v>31</v>
      </c>
      <c r="X79" t="s">
        <v>158</v>
      </c>
      <c r="Y79" t="s">
        <v>82</v>
      </c>
      <c r="Z79" t="s">
        <v>194</v>
      </c>
      <c r="AA79" t="s">
        <v>195</v>
      </c>
      <c r="AB79" t="s">
        <v>196</v>
      </c>
      <c r="AC79" t="s">
        <v>197</v>
      </c>
    </row>
    <row r="80" spans="1:42" x14ac:dyDescent="0.2">
      <c r="A80">
        <v>211</v>
      </c>
      <c r="B80" t="s">
        <v>29</v>
      </c>
      <c r="C80" t="s">
        <v>3</v>
      </c>
      <c r="D80">
        <v>2.1440000000000126E-2</v>
      </c>
      <c r="E80">
        <f t="shared" si="4"/>
        <v>21.440000000000126</v>
      </c>
      <c r="F80" s="12">
        <v>25683</v>
      </c>
      <c r="G80">
        <f t="shared" si="5"/>
        <v>1197.9011194029781</v>
      </c>
      <c r="H80" t="s">
        <v>27</v>
      </c>
      <c r="J80">
        <v>211</v>
      </c>
      <c r="K80" t="s">
        <v>29</v>
      </c>
      <c r="L80" t="s">
        <v>3</v>
      </c>
      <c r="M80">
        <v>2.1440000000000001E-2</v>
      </c>
      <c r="N80">
        <v>21.44</v>
      </c>
      <c r="O80">
        <v>25683</v>
      </c>
      <c r="P80">
        <v>1197.9011190000001</v>
      </c>
      <c r="Q80" t="s">
        <v>27</v>
      </c>
      <c r="X80" t="s">
        <v>2</v>
      </c>
      <c r="Y80">
        <v>31</v>
      </c>
      <c r="Z80">
        <v>1221</v>
      </c>
      <c r="AA80">
        <v>1085</v>
      </c>
      <c r="AB80">
        <v>39.387099999999997</v>
      </c>
      <c r="AC80">
        <v>1.635</v>
      </c>
    </row>
    <row r="81" spans="1:42" x14ac:dyDescent="0.2">
      <c r="A81">
        <v>212</v>
      </c>
      <c r="B81" t="s">
        <v>25</v>
      </c>
      <c r="C81" t="s">
        <v>2</v>
      </c>
      <c r="D81">
        <v>2.4189999999999046E-2</v>
      </c>
      <c r="E81">
        <f t="shared" si="4"/>
        <v>24.189999999999046</v>
      </c>
      <c r="F81" s="12">
        <v>24131.200000000001</v>
      </c>
      <c r="G81">
        <f t="shared" si="5"/>
        <v>997.56924348908444</v>
      </c>
      <c r="H81" t="s">
        <v>27</v>
      </c>
      <c r="J81">
        <v>212</v>
      </c>
      <c r="K81" t="s">
        <v>25</v>
      </c>
      <c r="L81" t="s">
        <v>2</v>
      </c>
      <c r="M81">
        <v>2.419E-2</v>
      </c>
      <c r="N81">
        <v>24.19</v>
      </c>
      <c r="O81">
        <v>24131.200000000001</v>
      </c>
      <c r="P81">
        <v>997.56924349999997</v>
      </c>
      <c r="Q81" t="s">
        <v>27</v>
      </c>
      <c r="S81" t="s">
        <v>97</v>
      </c>
      <c r="T81" t="s">
        <v>91</v>
      </c>
      <c r="X81" t="s">
        <v>3</v>
      </c>
      <c r="Y81">
        <v>38</v>
      </c>
      <c r="Z81">
        <v>1194</v>
      </c>
      <c r="AA81">
        <v>1330</v>
      </c>
      <c r="AB81">
        <v>31.421099999999999</v>
      </c>
      <c r="AC81">
        <v>-1.635</v>
      </c>
      <c r="AO81" t="s">
        <v>90</v>
      </c>
    </row>
    <row r="82" spans="1:42" x14ac:dyDescent="0.2">
      <c r="A82">
        <v>213</v>
      </c>
      <c r="B82" t="s">
        <v>29</v>
      </c>
      <c r="C82" t="s">
        <v>3</v>
      </c>
      <c r="D82">
        <v>1.8159999999999954E-2</v>
      </c>
      <c r="E82">
        <f t="shared" si="4"/>
        <v>18.159999999999954</v>
      </c>
      <c r="F82" s="12">
        <v>15164.2</v>
      </c>
      <c r="G82">
        <f t="shared" si="5"/>
        <v>835.03303964757924</v>
      </c>
      <c r="H82" t="s">
        <v>33</v>
      </c>
      <c r="J82">
        <v>213</v>
      </c>
      <c r="K82" t="s">
        <v>29</v>
      </c>
      <c r="L82" t="s">
        <v>3</v>
      </c>
      <c r="M82">
        <v>1.8159999999999999E-2</v>
      </c>
      <c r="N82">
        <v>18.16</v>
      </c>
      <c r="O82">
        <v>15164.2</v>
      </c>
      <c r="P82">
        <v>835.03303960000005</v>
      </c>
      <c r="Q82" t="s">
        <v>33</v>
      </c>
      <c r="S82" t="s">
        <v>98</v>
      </c>
    </row>
    <row r="83" spans="1:42" x14ac:dyDescent="0.2">
      <c r="A83">
        <v>216</v>
      </c>
      <c r="B83" t="s">
        <v>35</v>
      </c>
      <c r="C83" t="s">
        <v>3</v>
      </c>
      <c r="D83">
        <v>1.8469999999998876E-2</v>
      </c>
      <c r="E83">
        <f t="shared" si="4"/>
        <v>18.469999999998876</v>
      </c>
      <c r="F83" s="12">
        <v>30156.2</v>
      </c>
      <c r="G83">
        <f t="shared" si="5"/>
        <v>1632.7125067678307</v>
      </c>
      <c r="H83" t="s">
        <v>27</v>
      </c>
      <c r="J83">
        <v>216</v>
      </c>
      <c r="K83" t="s">
        <v>35</v>
      </c>
      <c r="L83" t="s">
        <v>3</v>
      </c>
      <c r="M83">
        <v>1.847E-2</v>
      </c>
      <c r="N83">
        <v>18.47</v>
      </c>
      <c r="O83">
        <v>30156.2</v>
      </c>
      <c r="P83">
        <v>1632.712507</v>
      </c>
      <c r="Q83" t="s">
        <v>27</v>
      </c>
      <c r="S83" t="s">
        <v>99</v>
      </c>
      <c r="AO83" t="s">
        <v>91</v>
      </c>
      <c r="AP83" t="s">
        <v>91</v>
      </c>
    </row>
    <row r="84" spans="1:42" x14ac:dyDescent="0.2">
      <c r="A84">
        <v>217</v>
      </c>
      <c r="B84" t="s">
        <v>25</v>
      </c>
      <c r="C84" t="s">
        <v>2</v>
      </c>
      <c r="D84">
        <v>2.739000000000047E-2</v>
      </c>
      <c r="E84">
        <f t="shared" si="4"/>
        <v>27.39000000000047</v>
      </c>
      <c r="F84" s="12">
        <v>13425.5</v>
      </c>
      <c r="G84">
        <f t="shared" si="5"/>
        <v>490.16064257027273</v>
      </c>
      <c r="H84" t="s">
        <v>33</v>
      </c>
      <c r="J84">
        <v>217</v>
      </c>
      <c r="K84" t="s">
        <v>25</v>
      </c>
      <c r="L84" t="s">
        <v>2</v>
      </c>
      <c r="M84">
        <v>2.7390000000000001E-2</v>
      </c>
      <c r="N84">
        <v>27.39</v>
      </c>
      <c r="O84">
        <v>13425.5</v>
      </c>
      <c r="P84">
        <v>490.16064260000002</v>
      </c>
      <c r="Q84" t="s">
        <v>33</v>
      </c>
      <c r="S84" t="s">
        <v>35</v>
      </c>
      <c r="T84" t="s">
        <v>91</v>
      </c>
      <c r="U84" t="s">
        <v>100</v>
      </c>
      <c r="AO84" t="s">
        <v>69</v>
      </c>
      <c r="AP84">
        <v>1328.6572000000001</v>
      </c>
    </row>
    <row r="85" spans="1:42" x14ac:dyDescent="0.2">
      <c r="A85">
        <v>218</v>
      </c>
      <c r="B85" t="s">
        <v>29</v>
      </c>
      <c r="C85" t="s">
        <v>3</v>
      </c>
      <c r="D85">
        <v>2.1160000000000068E-2</v>
      </c>
      <c r="E85">
        <f t="shared" si="4"/>
        <v>21.160000000000068</v>
      </c>
      <c r="F85" s="12">
        <v>25010.3</v>
      </c>
      <c r="G85">
        <f t="shared" si="5"/>
        <v>1181.9612476370473</v>
      </c>
      <c r="H85" t="s">
        <v>33</v>
      </c>
      <c r="J85">
        <v>218</v>
      </c>
      <c r="K85" t="s">
        <v>29</v>
      </c>
      <c r="L85" t="s">
        <v>3</v>
      </c>
      <c r="M85">
        <v>2.1160000000000002E-2</v>
      </c>
      <c r="N85">
        <v>21.16</v>
      </c>
      <c r="O85">
        <v>25010.3</v>
      </c>
      <c r="P85">
        <v>1181.9612480000001</v>
      </c>
      <c r="Q85" t="s">
        <v>33</v>
      </c>
      <c r="S85">
        <v>0.93207499999999999</v>
      </c>
      <c r="T85" t="s">
        <v>91</v>
      </c>
      <c r="U85">
        <v>4.99E-2</v>
      </c>
      <c r="X85" t="s">
        <v>203</v>
      </c>
      <c r="AO85" t="s">
        <v>92</v>
      </c>
      <c r="AP85">
        <v>333.47949999999997</v>
      </c>
    </row>
    <row r="86" spans="1:42" x14ac:dyDescent="0.2">
      <c r="A86">
        <v>219</v>
      </c>
      <c r="B86" t="s">
        <v>29</v>
      </c>
      <c r="C86" t="s">
        <v>2</v>
      </c>
      <c r="D86">
        <v>2.25799999999996E-2</v>
      </c>
      <c r="E86">
        <f t="shared" si="4"/>
        <v>22.5799999999996</v>
      </c>
      <c r="F86" s="12">
        <v>36366.1</v>
      </c>
      <c r="G86">
        <f t="shared" si="5"/>
        <v>1610.5447298494528</v>
      </c>
      <c r="H86" t="s">
        <v>33</v>
      </c>
      <c r="J86">
        <v>219</v>
      </c>
      <c r="K86" t="s">
        <v>29</v>
      </c>
      <c r="L86" t="s">
        <v>2</v>
      </c>
      <c r="M86">
        <v>2.2579999999999999E-2</v>
      </c>
      <c r="N86">
        <v>22.58</v>
      </c>
      <c r="O86">
        <v>36366.1</v>
      </c>
      <c r="P86">
        <v>1610.5447300000001</v>
      </c>
      <c r="Q86" t="s">
        <v>33</v>
      </c>
      <c r="AO86" t="s">
        <v>93</v>
      </c>
      <c r="AP86">
        <v>65.400710000000004</v>
      </c>
    </row>
    <row r="87" spans="1:42" x14ac:dyDescent="0.2">
      <c r="A87">
        <v>220</v>
      </c>
      <c r="B87" t="s">
        <v>25</v>
      </c>
      <c r="C87" t="s">
        <v>2</v>
      </c>
      <c r="D87">
        <v>2.289999999999992E-2</v>
      </c>
      <c r="E87">
        <f t="shared" si="4"/>
        <v>22.89999999999992</v>
      </c>
      <c r="F87" s="12">
        <v>41800.5</v>
      </c>
      <c r="G87">
        <f t="shared" si="5"/>
        <v>1825.3493449781722</v>
      </c>
      <c r="H87" t="s">
        <v>27</v>
      </c>
      <c r="J87">
        <v>220</v>
      </c>
      <c r="K87" t="s">
        <v>25</v>
      </c>
      <c r="L87" t="s">
        <v>2</v>
      </c>
      <c r="M87">
        <v>2.29E-2</v>
      </c>
      <c r="N87">
        <v>22.9</v>
      </c>
      <c r="O87">
        <v>41800.5</v>
      </c>
      <c r="P87">
        <v>1825.3493450000001</v>
      </c>
      <c r="Q87" t="s">
        <v>27</v>
      </c>
      <c r="X87" t="s">
        <v>204</v>
      </c>
      <c r="Y87" t="s">
        <v>205</v>
      </c>
      <c r="Z87" t="s">
        <v>206</v>
      </c>
      <c r="AO87" t="s">
        <v>94</v>
      </c>
      <c r="AP87">
        <v>1463.3525</v>
      </c>
    </row>
    <row r="88" spans="1:42" x14ac:dyDescent="0.2">
      <c r="A88">
        <v>224</v>
      </c>
      <c r="B88" t="s">
        <v>25</v>
      </c>
      <c r="C88" t="s">
        <v>2</v>
      </c>
      <c r="D88">
        <v>2.2640000000000882E-2</v>
      </c>
      <c r="E88">
        <f t="shared" si="4"/>
        <v>22.640000000000882</v>
      </c>
      <c r="F88" s="12">
        <v>47689.2</v>
      </c>
      <c r="G88">
        <f t="shared" si="5"/>
        <v>2106.4134275617553</v>
      </c>
      <c r="H88" t="s">
        <v>27</v>
      </c>
      <c r="J88">
        <v>224</v>
      </c>
      <c r="K88" t="s">
        <v>25</v>
      </c>
      <c r="L88" t="s">
        <v>2</v>
      </c>
      <c r="M88">
        <v>2.264E-2</v>
      </c>
      <c r="N88">
        <v>22.64</v>
      </c>
      <c r="O88">
        <v>47689.2</v>
      </c>
      <c r="P88">
        <v>2106.4134279999998</v>
      </c>
      <c r="Q88" t="s">
        <v>27</v>
      </c>
      <c r="S88" t="s">
        <v>101</v>
      </c>
      <c r="X88">
        <v>1221</v>
      </c>
      <c r="Y88">
        <v>1.63459</v>
      </c>
      <c r="Z88">
        <v>0.1021</v>
      </c>
      <c r="AO88" t="s">
        <v>95</v>
      </c>
      <c r="AP88">
        <v>1193.9619</v>
      </c>
    </row>
    <row r="89" spans="1:42" x14ac:dyDescent="0.2">
      <c r="A89">
        <v>225</v>
      </c>
      <c r="B89" t="s">
        <v>29</v>
      </c>
      <c r="C89" t="s">
        <v>3</v>
      </c>
      <c r="D89">
        <v>1.7679999999998586E-2</v>
      </c>
      <c r="E89">
        <f t="shared" si="4"/>
        <v>17.679999999998586</v>
      </c>
      <c r="F89" s="12">
        <v>22076.799999999999</v>
      </c>
      <c r="G89">
        <f t="shared" si="5"/>
        <v>1248.6877828055297</v>
      </c>
      <c r="H89" t="s">
        <v>33</v>
      </c>
      <c r="J89">
        <v>225</v>
      </c>
      <c r="K89" t="s">
        <v>29</v>
      </c>
      <c r="L89" t="s">
        <v>3</v>
      </c>
      <c r="M89">
        <v>1.7680000000000001E-2</v>
      </c>
      <c r="N89">
        <v>17.68</v>
      </c>
      <c r="O89">
        <v>22076.799999999999</v>
      </c>
      <c r="P89">
        <v>1248.6877830000001</v>
      </c>
      <c r="Q89" t="s">
        <v>33</v>
      </c>
      <c r="S89" t="s">
        <v>60</v>
      </c>
      <c r="AO89" t="s">
        <v>96</v>
      </c>
      <c r="AP89">
        <v>26</v>
      </c>
    </row>
    <row r="90" spans="1:42" x14ac:dyDescent="0.2">
      <c r="A90">
        <v>229</v>
      </c>
      <c r="B90" t="s">
        <v>29</v>
      </c>
      <c r="C90" t="s">
        <v>2</v>
      </c>
      <c r="D90">
        <v>2.1209999999999951E-2</v>
      </c>
      <c r="E90">
        <f t="shared" si="4"/>
        <v>21.209999999999951</v>
      </c>
      <c r="F90" s="12">
        <v>24332.1</v>
      </c>
      <c r="G90">
        <f t="shared" si="5"/>
        <v>1147.1994342291398</v>
      </c>
      <c r="H90" t="s">
        <v>27</v>
      </c>
      <c r="J90">
        <v>229</v>
      </c>
      <c r="K90" t="s">
        <v>29</v>
      </c>
      <c r="L90" t="s">
        <v>2</v>
      </c>
      <c r="M90">
        <v>2.121E-2</v>
      </c>
      <c r="N90">
        <v>21.21</v>
      </c>
      <c r="O90">
        <v>24332.1</v>
      </c>
      <c r="P90">
        <v>1147.1994340000001</v>
      </c>
      <c r="Q90" t="s">
        <v>27</v>
      </c>
      <c r="S90" t="s">
        <v>125</v>
      </c>
    </row>
    <row r="91" spans="1:42" x14ac:dyDescent="0.2">
      <c r="A91">
        <v>230</v>
      </c>
      <c r="B91" t="s">
        <v>29</v>
      </c>
      <c r="C91" t="s">
        <v>3</v>
      </c>
      <c r="D91">
        <v>1.6740000000000421E-2</v>
      </c>
      <c r="E91">
        <f t="shared" si="4"/>
        <v>16.740000000000421</v>
      </c>
      <c r="F91" s="12">
        <v>21633.1</v>
      </c>
      <c r="G91">
        <f t="shared" si="5"/>
        <v>1292.2998805256543</v>
      </c>
      <c r="H91" t="s">
        <v>33</v>
      </c>
      <c r="J91">
        <v>230</v>
      </c>
      <c r="K91" t="s">
        <v>29</v>
      </c>
      <c r="L91" t="s">
        <v>3</v>
      </c>
      <c r="M91">
        <v>1.6740000000000001E-2</v>
      </c>
      <c r="N91">
        <v>16.739999999999998</v>
      </c>
      <c r="O91">
        <v>21633.1</v>
      </c>
      <c r="P91">
        <v>1292.2998809999999</v>
      </c>
      <c r="Q91" t="s">
        <v>33</v>
      </c>
    </row>
    <row r="92" spans="1:42" x14ac:dyDescent="0.2">
      <c r="A92">
        <v>233</v>
      </c>
      <c r="B92" t="s">
        <v>35</v>
      </c>
      <c r="C92" t="s">
        <v>3</v>
      </c>
      <c r="D92">
        <v>1.8400000000001526E-2</v>
      </c>
      <c r="E92">
        <f t="shared" si="4"/>
        <v>18.400000000001526</v>
      </c>
      <c r="F92" s="12">
        <v>32445</v>
      </c>
      <c r="G92">
        <f t="shared" si="5"/>
        <v>1763.3152173911581</v>
      </c>
      <c r="H92" t="s">
        <v>27</v>
      </c>
      <c r="J92">
        <v>233</v>
      </c>
      <c r="K92" t="s">
        <v>35</v>
      </c>
      <c r="L92" t="s">
        <v>3</v>
      </c>
      <c r="M92">
        <v>1.84E-2</v>
      </c>
      <c r="N92">
        <v>18.399999999999999</v>
      </c>
      <c r="O92">
        <v>32445</v>
      </c>
      <c r="P92">
        <v>1763.3152170000001</v>
      </c>
      <c r="Q92" t="s">
        <v>27</v>
      </c>
      <c r="S92" t="s">
        <v>90</v>
      </c>
    </row>
    <row r="93" spans="1:42" x14ac:dyDescent="0.2">
      <c r="A93" s="10">
        <v>234</v>
      </c>
      <c r="B93" s="10" t="s">
        <v>29</v>
      </c>
      <c r="C93" s="10" t="s">
        <v>3</v>
      </c>
      <c r="D93" s="10">
        <v>1.775999999999911E-2</v>
      </c>
      <c r="E93">
        <f t="shared" si="4"/>
        <v>17.75999999999911</v>
      </c>
      <c r="F93" s="13">
        <v>31198.6</v>
      </c>
      <c r="G93">
        <f t="shared" si="5"/>
        <v>1756.6779279280158</v>
      </c>
      <c r="H93" s="10" t="s">
        <v>33</v>
      </c>
      <c r="J93">
        <v>234</v>
      </c>
      <c r="K93" t="s">
        <v>29</v>
      </c>
      <c r="L93" t="s">
        <v>3</v>
      </c>
      <c r="M93">
        <v>1.7760000000000001E-2</v>
      </c>
      <c r="N93">
        <v>17.760000000000002</v>
      </c>
      <c r="O93">
        <v>31198.6</v>
      </c>
      <c r="P93">
        <v>1756.6779280000001</v>
      </c>
      <c r="Q93" s="10" t="s">
        <v>33</v>
      </c>
      <c r="R93" s="10"/>
      <c r="S93" t="s">
        <v>69</v>
      </c>
      <c r="T93">
        <v>1363.8115</v>
      </c>
      <c r="X93" t="s">
        <v>198</v>
      </c>
    </row>
    <row r="94" spans="1:42" x14ac:dyDescent="0.2">
      <c r="A94">
        <v>235</v>
      </c>
      <c r="B94" t="s">
        <v>35</v>
      </c>
      <c r="C94" t="s">
        <v>3</v>
      </c>
      <c r="D94">
        <v>2.023999999999937E-2</v>
      </c>
      <c r="E94">
        <f t="shared" si="4"/>
        <v>20.23999999999937</v>
      </c>
      <c r="F94" s="12">
        <v>25655.9</v>
      </c>
      <c r="G94">
        <f t="shared" si="5"/>
        <v>1267.5839920949013</v>
      </c>
      <c r="H94" t="s">
        <v>27</v>
      </c>
      <c r="J94">
        <v>235</v>
      </c>
      <c r="K94" t="s">
        <v>35</v>
      </c>
      <c r="L94" t="s">
        <v>3</v>
      </c>
      <c r="M94">
        <v>2.0240000000000001E-2</v>
      </c>
      <c r="N94">
        <v>20.239999999999998</v>
      </c>
      <c r="O94">
        <v>25655.9</v>
      </c>
      <c r="P94">
        <v>1267.5839920000001</v>
      </c>
      <c r="Q94" t="s">
        <v>27</v>
      </c>
      <c r="S94" t="s">
        <v>92</v>
      </c>
      <c r="T94">
        <v>441.70224999999999</v>
      </c>
      <c r="AO94" t="s">
        <v>104</v>
      </c>
    </row>
    <row r="95" spans="1:42" x14ac:dyDescent="0.2">
      <c r="A95">
        <v>236</v>
      </c>
      <c r="B95" t="s">
        <v>35</v>
      </c>
      <c r="C95" t="s">
        <v>3</v>
      </c>
      <c r="D95">
        <v>1.7870000000000275E-2</v>
      </c>
      <c r="E95">
        <f t="shared" si="4"/>
        <v>17.870000000000275</v>
      </c>
      <c r="F95" s="12">
        <v>31440.9</v>
      </c>
      <c r="G95">
        <f t="shared" si="5"/>
        <v>1759.423614997175</v>
      </c>
      <c r="H95" t="s">
        <v>27</v>
      </c>
      <c r="J95">
        <v>236</v>
      </c>
      <c r="K95" t="s">
        <v>35</v>
      </c>
      <c r="L95" t="s">
        <v>3</v>
      </c>
      <c r="M95">
        <v>1.787E-2</v>
      </c>
      <c r="N95">
        <v>17.87</v>
      </c>
      <c r="O95">
        <v>31440.9</v>
      </c>
      <c r="P95">
        <v>1759.4236149999999</v>
      </c>
      <c r="Q95" t="s">
        <v>27</v>
      </c>
      <c r="S95" t="s">
        <v>93</v>
      </c>
      <c r="T95">
        <v>71.653565999999998</v>
      </c>
      <c r="X95" t="s">
        <v>199</v>
      </c>
      <c r="Y95" t="s">
        <v>114</v>
      </c>
      <c r="Z95" t="s">
        <v>200</v>
      </c>
    </row>
    <row r="96" spans="1:42" x14ac:dyDescent="0.2">
      <c r="A96">
        <v>244</v>
      </c>
      <c r="B96" t="s">
        <v>29</v>
      </c>
      <c r="C96" t="s">
        <v>3</v>
      </c>
      <c r="D96">
        <v>1.8779999999999575E-2</v>
      </c>
      <c r="E96">
        <f t="shared" si="4"/>
        <v>18.779999999999575</v>
      </c>
      <c r="F96" s="12">
        <v>24138.799999999999</v>
      </c>
      <c r="G96">
        <f t="shared" si="5"/>
        <v>1285.3461128860781</v>
      </c>
      <c r="H96" t="s">
        <v>33</v>
      </c>
      <c r="J96">
        <v>244</v>
      </c>
      <c r="K96" t="s">
        <v>29</v>
      </c>
      <c r="L96" t="s">
        <v>3</v>
      </c>
      <c r="M96">
        <v>1.8780000000000002E-2</v>
      </c>
      <c r="N96">
        <v>18.78</v>
      </c>
      <c r="O96">
        <v>24138.799999999999</v>
      </c>
      <c r="P96">
        <v>1285.3461130000001</v>
      </c>
      <c r="Q96" t="s">
        <v>33</v>
      </c>
      <c r="S96" t="s">
        <v>94</v>
      </c>
      <c r="T96">
        <v>1508.9954</v>
      </c>
      <c r="X96">
        <v>2.6916000000000002</v>
      </c>
      <c r="Y96">
        <v>1</v>
      </c>
      <c r="Z96" s="23">
        <v>0.1009</v>
      </c>
    </row>
    <row r="97" spans="1:42" x14ac:dyDescent="0.2">
      <c r="A97">
        <v>245</v>
      </c>
      <c r="B97" t="s">
        <v>25</v>
      </c>
      <c r="C97" t="s">
        <v>3</v>
      </c>
      <c r="D97">
        <v>2.6819999999998956E-2</v>
      </c>
      <c r="E97">
        <f t="shared" si="4"/>
        <v>26.819999999998956</v>
      </c>
      <c r="F97" s="12">
        <v>38445.599999999999</v>
      </c>
      <c r="G97">
        <f t="shared" si="5"/>
        <v>1433.4675615213087</v>
      </c>
      <c r="H97" t="s">
        <v>27</v>
      </c>
      <c r="J97">
        <v>245</v>
      </c>
      <c r="K97" t="s">
        <v>25</v>
      </c>
      <c r="L97" t="s">
        <v>3</v>
      </c>
      <c r="M97">
        <v>2.682E-2</v>
      </c>
      <c r="N97">
        <v>26.82</v>
      </c>
      <c r="O97">
        <v>38445.599999999999</v>
      </c>
      <c r="P97">
        <v>1433.467562</v>
      </c>
      <c r="Q97" t="s">
        <v>27</v>
      </c>
      <c r="S97" t="s">
        <v>95</v>
      </c>
      <c r="T97">
        <v>1218.6276</v>
      </c>
      <c r="AO97" t="s">
        <v>60</v>
      </c>
    </row>
    <row r="98" spans="1:42" x14ac:dyDescent="0.2">
      <c r="A98">
        <v>248</v>
      </c>
      <c r="B98" t="s">
        <v>29</v>
      </c>
      <c r="C98" t="s">
        <v>3</v>
      </c>
      <c r="D98">
        <v>1.9429999999999836E-2</v>
      </c>
      <c r="E98">
        <f t="shared" si="4"/>
        <v>19.429999999999836</v>
      </c>
      <c r="F98" s="12">
        <v>38951.300000000003</v>
      </c>
      <c r="G98">
        <f t="shared" si="5"/>
        <v>2004.698919197135</v>
      </c>
      <c r="H98" t="s">
        <v>33</v>
      </c>
      <c r="J98">
        <v>248</v>
      </c>
      <c r="K98" t="s">
        <v>29</v>
      </c>
      <c r="L98" t="s">
        <v>3</v>
      </c>
      <c r="M98">
        <v>1.9429999999999999E-2</v>
      </c>
      <c r="N98">
        <v>19.43</v>
      </c>
      <c r="O98">
        <v>38951.300000000003</v>
      </c>
      <c r="P98">
        <v>2004.6989189999999</v>
      </c>
      <c r="Q98" t="s">
        <v>33</v>
      </c>
      <c r="S98" t="s">
        <v>96</v>
      </c>
      <c r="T98">
        <v>38</v>
      </c>
    </row>
    <row r="99" spans="1:42" x14ac:dyDescent="0.2">
      <c r="A99">
        <v>251</v>
      </c>
      <c r="B99" t="s">
        <v>29</v>
      </c>
      <c r="C99" t="s">
        <v>2</v>
      </c>
      <c r="D99">
        <v>2.1380000000000621E-2</v>
      </c>
      <c r="E99">
        <f t="shared" si="4"/>
        <v>21.380000000000621</v>
      </c>
      <c r="F99" s="12">
        <v>21313.1</v>
      </c>
      <c r="G99">
        <f t="shared" si="5"/>
        <v>996.87090739005521</v>
      </c>
      <c r="H99" t="s">
        <v>33</v>
      </c>
      <c r="J99">
        <v>251</v>
      </c>
      <c r="K99" t="s">
        <v>29</v>
      </c>
      <c r="L99" t="s">
        <v>2</v>
      </c>
      <c r="M99">
        <v>2.138E-2</v>
      </c>
      <c r="N99">
        <v>21.38</v>
      </c>
      <c r="O99">
        <v>21313.1</v>
      </c>
      <c r="P99">
        <v>996.87090739999996</v>
      </c>
      <c r="Q99" t="s">
        <v>33</v>
      </c>
    </row>
    <row r="100" spans="1:42" x14ac:dyDescent="0.2">
      <c r="A100">
        <v>252</v>
      </c>
      <c r="B100" t="s">
        <v>35</v>
      </c>
      <c r="C100" t="s">
        <v>2</v>
      </c>
      <c r="D100">
        <v>2.4550000000001404E-2</v>
      </c>
      <c r="E100">
        <f t="shared" ref="E100:E131" si="6">D100*1000</f>
        <v>24.550000000001404</v>
      </c>
      <c r="F100" s="12">
        <v>36052.300000000003</v>
      </c>
      <c r="G100">
        <f t="shared" ref="G100:G131" si="7">F100/E100</f>
        <v>1468.5254582483885</v>
      </c>
      <c r="H100" t="s">
        <v>27</v>
      </c>
      <c r="J100">
        <v>252</v>
      </c>
      <c r="K100" t="s">
        <v>35</v>
      </c>
      <c r="L100" t="s">
        <v>2</v>
      </c>
      <c r="M100">
        <v>2.4549999999999999E-2</v>
      </c>
      <c r="N100">
        <v>24.55</v>
      </c>
      <c r="O100">
        <v>36052.300000000003</v>
      </c>
      <c r="P100">
        <v>1468.5254580000001</v>
      </c>
      <c r="Q100" t="s">
        <v>27</v>
      </c>
      <c r="S100" t="s">
        <v>97</v>
      </c>
    </row>
    <row r="101" spans="1:42" x14ac:dyDescent="0.2">
      <c r="A101">
        <v>253</v>
      </c>
      <c r="B101" t="s">
        <v>35</v>
      </c>
      <c r="C101" t="s">
        <v>2</v>
      </c>
      <c r="D101">
        <v>2.1530000000000271E-2</v>
      </c>
      <c r="E101">
        <f t="shared" si="6"/>
        <v>21.530000000000271</v>
      </c>
      <c r="F101" s="12">
        <v>32188.7</v>
      </c>
      <c r="G101">
        <f t="shared" si="7"/>
        <v>1495.0627032048117</v>
      </c>
      <c r="H101" t="s">
        <v>27</v>
      </c>
      <c r="J101">
        <v>253</v>
      </c>
      <c r="K101" t="s">
        <v>35</v>
      </c>
      <c r="L101" t="s">
        <v>2</v>
      </c>
      <c r="M101">
        <v>2.1530000000000001E-2</v>
      </c>
      <c r="N101">
        <v>21.53</v>
      </c>
      <c r="O101">
        <v>32188.7</v>
      </c>
      <c r="P101">
        <v>1495.0627030000001</v>
      </c>
      <c r="Q101" t="s">
        <v>27</v>
      </c>
      <c r="S101" t="s">
        <v>98</v>
      </c>
      <c r="X101" t="s">
        <v>4</v>
      </c>
    </row>
    <row r="102" spans="1:42" x14ac:dyDescent="0.2">
      <c r="A102">
        <v>261</v>
      </c>
      <c r="B102" t="s">
        <v>25</v>
      </c>
      <c r="C102" t="s">
        <v>2</v>
      </c>
      <c r="D102">
        <v>2.7510000000001256E-2</v>
      </c>
      <c r="E102">
        <f t="shared" si="6"/>
        <v>27.510000000001256</v>
      </c>
      <c r="F102" s="12">
        <v>46935</v>
      </c>
      <c r="G102">
        <f t="shared" si="7"/>
        <v>1706.1068702289297</v>
      </c>
      <c r="H102" t="s">
        <v>27</v>
      </c>
      <c r="J102">
        <v>261</v>
      </c>
      <c r="K102" t="s">
        <v>25</v>
      </c>
      <c r="L102" t="s">
        <v>2</v>
      </c>
      <c r="M102">
        <v>2.751E-2</v>
      </c>
      <c r="N102">
        <v>27.51</v>
      </c>
      <c r="O102">
        <v>46935</v>
      </c>
      <c r="P102">
        <v>1706.1068700000001</v>
      </c>
      <c r="Q102" t="s">
        <v>27</v>
      </c>
      <c r="S102" t="s">
        <v>99</v>
      </c>
    </row>
    <row r="103" spans="1:42" x14ac:dyDescent="0.2">
      <c r="A103">
        <v>262</v>
      </c>
      <c r="B103" t="s">
        <v>35</v>
      </c>
      <c r="C103" t="s">
        <v>3</v>
      </c>
      <c r="D103">
        <v>2.4510000000001142E-2</v>
      </c>
      <c r="E103">
        <f t="shared" si="6"/>
        <v>24.510000000001142</v>
      </c>
      <c r="F103" s="12">
        <v>36770.400000000001</v>
      </c>
      <c r="G103">
        <f t="shared" si="7"/>
        <v>1500.2203182373842</v>
      </c>
      <c r="H103" t="s">
        <v>27</v>
      </c>
      <c r="J103">
        <v>262</v>
      </c>
      <c r="K103" t="s">
        <v>35</v>
      </c>
      <c r="L103" t="s">
        <v>3</v>
      </c>
      <c r="M103">
        <v>2.4510000000000001E-2</v>
      </c>
      <c r="N103">
        <v>24.51</v>
      </c>
      <c r="O103">
        <v>36770.400000000001</v>
      </c>
      <c r="P103">
        <v>1500.2203179999999</v>
      </c>
      <c r="Q103" t="s">
        <v>27</v>
      </c>
      <c r="S103" t="s">
        <v>35</v>
      </c>
      <c r="T103" t="s">
        <v>91</v>
      </c>
      <c r="U103" t="s">
        <v>100</v>
      </c>
      <c r="X103" t="s">
        <v>193</v>
      </c>
      <c r="AO103" t="s">
        <v>90</v>
      </c>
    </row>
    <row r="104" spans="1:42" x14ac:dyDescent="0.2">
      <c r="A104">
        <v>265</v>
      </c>
      <c r="B104" t="s">
        <v>25</v>
      </c>
      <c r="C104" t="s">
        <v>3</v>
      </c>
      <c r="D104">
        <v>1.7819999999998615E-2</v>
      </c>
      <c r="E104">
        <f t="shared" si="6"/>
        <v>17.819999999998615</v>
      </c>
      <c r="F104" s="12">
        <v>21161.5</v>
      </c>
      <c r="G104">
        <f t="shared" si="7"/>
        <v>1187.5140291807882</v>
      </c>
      <c r="H104" t="s">
        <v>33</v>
      </c>
      <c r="J104">
        <v>265</v>
      </c>
      <c r="K104" t="s">
        <v>25</v>
      </c>
      <c r="L104" t="s">
        <v>3</v>
      </c>
      <c r="M104">
        <v>1.7819999999999999E-2</v>
      </c>
      <c r="N104">
        <v>17.82</v>
      </c>
      <c r="O104">
        <v>21161.5</v>
      </c>
      <c r="P104">
        <v>1187.5140289999999</v>
      </c>
      <c r="Q104" t="s">
        <v>33</v>
      </c>
      <c r="S104">
        <v>0.95119399999999998</v>
      </c>
      <c r="T104" t="s">
        <v>91</v>
      </c>
      <c r="U104">
        <v>9.7500000000000003E-2</v>
      </c>
    </row>
    <row r="105" spans="1:42" x14ac:dyDescent="0.2">
      <c r="A105">
        <v>266</v>
      </c>
      <c r="B105" t="s">
        <v>25</v>
      </c>
      <c r="C105" t="s">
        <v>2</v>
      </c>
      <c r="D105">
        <v>2.3859999999999104E-2</v>
      </c>
      <c r="E105">
        <f t="shared" si="6"/>
        <v>23.859999999999104</v>
      </c>
      <c r="F105" s="12">
        <v>34636.800000000003</v>
      </c>
      <c r="G105">
        <f t="shared" si="7"/>
        <v>1451.6680637050001</v>
      </c>
      <c r="H105" t="s">
        <v>33</v>
      </c>
      <c r="J105">
        <v>266</v>
      </c>
      <c r="K105" t="s">
        <v>25</v>
      </c>
      <c r="L105" t="s">
        <v>2</v>
      </c>
      <c r="M105">
        <v>2.3859999999999999E-2</v>
      </c>
      <c r="N105">
        <v>23.86</v>
      </c>
      <c r="O105">
        <v>34636.800000000003</v>
      </c>
      <c r="P105">
        <v>1451.668064</v>
      </c>
      <c r="Q105" t="s">
        <v>33</v>
      </c>
      <c r="X105" t="s">
        <v>158</v>
      </c>
      <c r="Y105" t="s">
        <v>82</v>
      </c>
      <c r="Z105" t="s">
        <v>194</v>
      </c>
      <c r="AA105" t="s">
        <v>195</v>
      </c>
      <c r="AB105" t="s">
        <v>196</v>
      </c>
      <c r="AC105" t="s">
        <v>197</v>
      </c>
      <c r="AO105" t="s">
        <v>91</v>
      </c>
      <c r="AP105" t="s">
        <v>91</v>
      </c>
    </row>
    <row r="106" spans="1:42" x14ac:dyDescent="0.2">
      <c r="A106">
        <v>267</v>
      </c>
      <c r="B106" t="s">
        <v>25</v>
      </c>
      <c r="C106" t="s">
        <v>3</v>
      </c>
      <c r="D106">
        <v>2.0500000000000185E-2</v>
      </c>
      <c r="E106">
        <f t="shared" si="6"/>
        <v>20.500000000000185</v>
      </c>
      <c r="F106" s="12">
        <v>21954.2</v>
      </c>
      <c r="G106">
        <f t="shared" si="7"/>
        <v>1070.9365853658439</v>
      </c>
      <c r="H106" t="s">
        <v>33</v>
      </c>
      <c r="J106">
        <v>267</v>
      </c>
      <c r="K106" t="s">
        <v>25</v>
      </c>
      <c r="L106" t="s">
        <v>3</v>
      </c>
      <c r="M106">
        <v>2.0500000000000001E-2</v>
      </c>
      <c r="N106">
        <v>20.5</v>
      </c>
      <c r="O106">
        <v>21954.2</v>
      </c>
      <c r="P106">
        <v>1070.9365849999999</v>
      </c>
      <c r="Q106" t="s">
        <v>33</v>
      </c>
      <c r="X106" t="s">
        <v>2</v>
      </c>
      <c r="Y106">
        <v>23</v>
      </c>
      <c r="Z106">
        <v>569</v>
      </c>
      <c r="AA106">
        <v>540.5</v>
      </c>
      <c r="AB106">
        <v>24.739100000000001</v>
      </c>
      <c r="AC106">
        <v>0.61499999999999999</v>
      </c>
      <c r="AO106" t="s">
        <v>69</v>
      </c>
      <c r="AP106">
        <v>1478.3688999999999</v>
      </c>
    </row>
    <row r="107" spans="1:42" x14ac:dyDescent="0.2">
      <c r="A107">
        <v>268</v>
      </c>
      <c r="B107" t="s">
        <v>29</v>
      </c>
      <c r="C107" t="s">
        <v>2</v>
      </c>
      <c r="D107">
        <v>2.2819999999999396E-2</v>
      </c>
      <c r="E107">
        <f t="shared" si="6"/>
        <v>22.819999999999396</v>
      </c>
      <c r="F107" s="12">
        <v>42652.3</v>
      </c>
      <c r="G107">
        <f t="shared" si="7"/>
        <v>1869.0753724803301</v>
      </c>
      <c r="H107" t="s">
        <v>27</v>
      </c>
      <c r="J107">
        <v>268</v>
      </c>
      <c r="K107" t="s">
        <v>29</v>
      </c>
      <c r="L107" t="s">
        <v>2</v>
      </c>
      <c r="M107">
        <v>2.282E-2</v>
      </c>
      <c r="N107">
        <v>22.82</v>
      </c>
      <c r="O107">
        <v>42652.3</v>
      </c>
      <c r="P107">
        <v>1869.075372</v>
      </c>
      <c r="Q107" t="s">
        <v>27</v>
      </c>
      <c r="S107" t="s">
        <v>102</v>
      </c>
      <c r="X107" t="s">
        <v>3</v>
      </c>
      <c r="Y107">
        <v>23</v>
      </c>
      <c r="Z107">
        <v>512</v>
      </c>
      <c r="AA107">
        <v>540.5</v>
      </c>
      <c r="AB107">
        <v>22.260899999999999</v>
      </c>
      <c r="AC107">
        <v>-0.61499999999999999</v>
      </c>
      <c r="AO107" t="s">
        <v>92</v>
      </c>
      <c r="AP107">
        <v>356.54556000000002</v>
      </c>
    </row>
    <row r="108" spans="1:42" x14ac:dyDescent="0.2">
      <c r="A108">
        <v>269</v>
      </c>
      <c r="B108" t="s">
        <v>29</v>
      </c>
      <c r="C108" t="s">
        <v>3</v>
      </c>
      <c r="D108">
        <v>1.7800000000001148E-2</v>
      </c>
      <c r="E108">
        <f t="shared" si="6"/>
        <v>17.800000000001148</v>
      </c>
      <c r="F108" s="12">
        <v>33689.9</v>
      </c>
      <c r="G108">
        <f t="shared" si="7"/>
        <v>1892.691011235833</v>
      </c>
      <c r="H108" t="s">
        <v>33</v>
      </c>
      <c r="J108">
        <v>269</v>
      </c>
      <c r="K108" t="s">
        <v>29</v>
      </c>
      <c r="L108" t="s">
        <v>3</v>
      </c>
      <c r="M108">
        <v>1.78E-2</v>
      </c>
      <c r="N108">
        <v>17.8</v>
      </c>
      <c r="O108">
        <v>33689.9</v>
      </c>
      <c r="P108">
        <v>1892.6910109999999</v>
      </c>
      <c r="Q108" t="s">
        <v>33</v>
      </c>
      <c r="S108" t="s">
        <v>60</v>
      </c>
      <c r="AO108" t="s">
        <v>93</v>
      </c>
      <c r="AP108">
        <v>72.779557999999994</v>
      </c>
    </row>
    <row r="109" spans="1:42" x14ac:dyDescent="0.2">
      <c r="A109">
        <v>271</v>
      </c>
      <c r="B109" t="s">
        <v>35</v>
      </c>
      <c r="C109" t="s">
        <v>3</v>
      </c>
      <c r="D109">
        <v>2.2510000000000474E-2</v>
      </c>
      <c r="E109">
        <f t="shared" si="6"/>
        <v>22.510000000000474</v>
      </c>
      <c r="F109" s="12">
        <v>28791.4</v>
      </c>
      <c r="G109">
        <f t="shared" si="7"/>
        <v>1279.0493114171211</v>
      </c>
      <c r="H109" t="s">
        <v>27</v>
      </c>
      <c r="J109">
        <v>271</v>
      </c>
      <c r="K109" t="s">
        <v>35</v>
      </c>
      <c r="L109" t="s">
        <v>3</v>
      </c>
      <c r="M109">
        <v>2.2509999999999999E-2</v>
      </c>
      <c r="N109">
        <v>22.51</v>
      </c>
      <c r="O109">
        <v>28791.4</v>
      </c>
      <c r="P109">
        <v>1279.049311</v>
      </c>
      <c r="Q109" t="s">
        <v>27</v>
      </c>
      <c r="S109" t="s">
        <v>126</v>
      </c>
      <c r="AO109" t="s">
        <v>94</v>
      </c>
      <c r="AP109">
        <v>1628.9249</v>
      </c>
    </row>
    <row r="110" spans="1:42" x14ac:dyDescent="0.2">
      <c r="A110">
        <v>272</v>
      </c>
      <c r="B110" t="s">
        <v>35</v>
      </c>
      <c r="C110" t="s">
        <v>2</v>
      </c>
      <c r="D110">
        <v>2.4999999999998579E-2</v>
      </c>
      <c r="E110">
        <f t="shared" si="6"/>
        <v>24.999999999998579</v>
      </c>
      <c r="F110" s="12">
        <v>37554.800000000003</v>
      </c>
      <c r="G110">
        <f t="shared" si="7"/>
        <v>1502.1920000000855</v>
      </c>
      <c r="H110" t="s">
        <v>27</v>
      </c>
      <c r="J110">
        <v>272</v>
      </c>
      <c r="K110" t="s">
        <v>35</v>
      </c>
      <c r="L110" t="s">
        <v>2</v>
      </c>
      <c r="M110">
        <v>2.5000000000000001E-2</v>
      </c>
      <c r="N110">
        <v>25</v>
      </c>
      <c r="O110">
        <v>37554.800000000003</v>
      </c>
      <c r="P110">
        <v>1502.192</v>
      </c>
      <c r="Q110" t="s">
        <v>27</v>
      </c>
      <c r="AO110" t="s">
        <v>95</v>
      </c>
      <c r="AP110">
        <v>1327.8128999999999</v>
      </c>
    </row>
    <row r="111" spans="1:42" x14ac:dyDescent="0.2">
      <c r="A111">
        <v>273</v>
      </c>
      <c r="B111" t="s">
        <v>29</v>
      </c>
      <c r="C111" t="s">
        <v>3</v>
      </c>
      <c r="D111">
        <v>2.0100000000001117E-2</v>
      </c>
      <c r="E111">
        <f t="shared" si="6"/>
        <v>20.100000000001117</v>
      </c>
      <c r="F111" s="12">
        <v>29181.599999999999</v>
      </c>
      <c r="G111">
        <f t="shared" si="7"/>
        <v>1451.8208955223074</v>
      </c>
      <c r="H111" t="s">
        <v>33</v>
      </c>
      <c r="J111">
        <v>273</v>
      </c>
      <c r="K111" t="s">
        <v>29</v>
      </c>
      <c r="L111" t="s">
        <v>3</v>
      </c>
      <c r="M111">
        <v>2.01E-2</v>
      </c>
      <c r="N111">
        <v>20.100000000000001</v>
      </c>
      <c r="O111">
        <v>29181.599999999999</v>
      </c>
      <c r="P111">
        <v>1451.8208959999999</v>
      </c>
      <c r="Q111" t="s">
        <v>33</v>
      </c>
      <c r="S111" t="s">
        <v>90</v>
      </c>
      <c r="AO111" t="s">
        <v>96</v>
      </c>
      <c r="AP111">
        <v>24</v>
      </c>
    </row>
    <row r="112" spans="1:42" x14ac:dyDescent="0.2">
      <c r="A112">
        <v>281</v>
      </c>
      <c r="B112" t="s">
        <v>25</v>
      </c>
      <c r="C112" t="s">
        <v>2</v>
      </c>
      <c r="D112">
        <v>2.1280000000000854E-2</v>
      </c>
      <c r="E112">
        <f t="shared" si="6"/>
        <v>21.280000000000854</v>
      </c>
      <c r="F112" s="12">
        <v>24769.4</v>
      </c>
      <c r="G112">
        <f t="shared" si="7"/>
        <v>1163.9755639097277</v>
      </c>
      <c r="H112" t="s">
        <v>27</v>
      </c>
      <c r="J112">
        <v>281</v>
      </c>
      <c r="K112" t="s">
        <v>25</v>
      </c>
      <c r="L112" t="s">
        <v>2</v>
      </c>
      <c r="M112">
        <v>2.128E-2</v>
      </c>
      <c r="N112">
        <v>21.28</v>
      </c>
      <c r="O112">
        <v>24769.4</v>
      </c>
      <c r="P112">
        <v>1163.9755640000001</v>
      </c>
      <c r="Q112" t="s">
        <v>27</v>
      </c>
      <c r="S112" t="s">
        <v>69</v>
      </c>
      <c r="T112">
        <v>1308.7136</v>
      </c>
      <c r="X112" t="s">
        <v>203</v>
      </c>
    </row>
    <row r="113" spans="1:42" x14ac:dyDescent="0.2">
      <c r="A113">
        <v>282</v>
      </c>
      <c r="B113" t="s">
        <v>29</v>
      </c>
      <c r="C113" t="s">
        <v>2</v>
      </c>
      <c r="D113">
        <v>1.9420000000000215E-2</v>
      </c>
      <c r="E113">
        <f t="shared" si="6"/>
        <v>19.420000000000215</v>
      </c>
      <c r="F113" s="12">
        <v>34547.699999999997</v>
      </c>
      <c r="G113">
        <f t="shared" si="7"/>
        <v>1778.9752832131624</v>
      </c>
      <c r="H113" t="s">
        <v>27</v>
      </c>
      <c r="J113">
        <v>282</v>
      </c>
      <c r="K113" t="s">
        <v>29</v>
      </c>
      <c r="L113" t="s">
        <v>2</v>
      </c>
      <c r="M113">
        <v>1.942E-2</v>
      </c>
      <c r="N113">
        <v>19.420000000000002</v>
      </c>
      <c r="O113">
        <v>34547.699999999997</v>
      </c>
      <c r="P113">
        <v>1778.975283</v>
      </c>
      <c r="Q113" t="s">
        <v>27</v>
      </c>
      <c r="S113" t="s">
        <v>92</v>
      </c>
      <c r="T113">
        <v>472.85654</v>
      </c>
    </row>
    <row r="114" spans="1:42" x14ac:dyDescent="0.2">
      <c r="A114">
        <v>287</v>
      </c>
      <c r="B114" t="s">
        <v>35</v>
      </c>
      <c r="C114" t="s">
        <v>3</v>
      </c>
      <c r="D114">
        <v>2.1370000000000999E-2</v>
      </c>
      <c r="E114">
        <f t="shared" si="6"/>
        <v>21.370000000000999</v>
      </c>
      <c r="F114" s="12">
        <v>36072.6</v>
      </c>
      <c r="G114">
        <f t="shared" si="7"/>
        <v>1688.0018717827943</v>
      </c>
      <c r="H114" t="s">
        <v>27</v>
      </c>
      <c r="J114">
        <v>287</v>
      </c>
      <c r="K114" t="s">
        <v>35</v>
      </c>
      <c r="L114" t="s">
        <v>3</v>
      </c>
      <c r="M114">
        <v>2.137E-2</v>
      </c>
      <c r="N114">
        <v>21.37</v>
      </c>
      <c r="O114">
        <v>36072.6</v>
      </c>
      <c r="P114">
        <v>1688.001872</v>
      </c>
      <c r="Q114" t="s">
        <v>27</v>
      </c>
      <c r="S114" t="s">
        <v>93</v>
      </c>
      <c r="T114">
        <v>98.597403999999997</v>
      </c>
      <c r="X114" t="s">
        <v>204</v>
      </c>
      <c r="Y114" t="s">
        <v>205</v>
      </c>
      <c r="Z114" t="s">
        <v>206</v>
      </c>
    </row>
    <row r="115" spans="1:42" x14ac:dyDescent="0.2">
      <c r="A115">
        <v>288</v>
      </c>
      <c r="B115" t="s">
        <v>35</v>
      </c>
      <c r="C115" t="s">
        <v>2</v>
      </c>
      <c r="D115">
        <v>2.5249999999999773E-2</v>
      </c>
      <c r="E115">
        <f t="shared" si="6"/>
        <v>25.249999999999773</v>
      </c>
      <c r="F115" s="12">
        <v>34099.1</v>
      </c>
      <c r="G115">
        <f t="shared" si="7"/>
        <v>1350.4594059406061</v>
      </c>
      <c r="H115" t="s">
        <v>27</v>
      </c>
      <c r="J115">
        <v>288</v>
      </c>
      <c r="K115" t="s">
        <v>35</v>
      </c>
      <c r="L115" t="s">
        <v>2</v>
      </c>
      <c r="M115">
        <v>2.5250000000000002E-2</v>
      </c>
      <c r="N115">
        <v>25.25</v>
      </c>
      <c r="O115">
        <v>34099.1</v>
      </c>
      <c r="P115">
        <v>1350.4594059999999</v>
      </c>
      <c r="Q115" t="s">
        <v>27</v>
      </c>
      <c r="S115" t="s">
        <v>94</v>
      </c>
      <c r="T115">
        <v>1513.1921</v>
      </c>
      <c r="X115">
        <v>512</v>
      </c>
      <c r="Y115">
        <v>-0.61514000000000002</v>
      </c>
      <c r="Z115">
        <v>0.53849999999999998</v>
      </c>
    </row>
    <row r="116" spans="1:42" x14ac:dyDescent="0.2">
      <c r="A116">
        <v>290</v>
      </c>
      <c r="B116" t="s">
        <v>25</v>
      </c>
      <c r="C116" t="s">
        <v>3</v>
      </c>
      <c r="D116">
        <v>2.3320000000000007E-2</v>
      </c>
      <c r="E116">
        <f t="shared" si="6"/>
        <v>23.320000000000007</v>
      </c>
      <c r="F116" s="12">
        <v>36638.400000000001</v>
      </c>
      <c r="G116">
        <f t="shared" si="7"/>
        <v>1571.1149228130355</v>
      </c>
      <c r="H116" t="s">
        <v>27</v>
      </c>
      <c r="J116">
        <v>290</v>
      </c>
      <c r="K116" t="s">
        <v>25</v>
      </c>
      <c r="L116" t="s">
        <v>3</v>
      </c>
      <c r="M116">
        <v>2.332E-2</v>
      </c>
      <c r="N116">
        <v>23.32</v>
      </c>
      <c r="O116">
        <v>36638.400000000001</v>
      </c>
      <c r="P116">
        <v>1571.1149230000001</v>
      </c>
      <c r="Q116" t="s">
        <v>27</v>
      </c>
      <c r="S116" t="s">
        <v>95</v>
      </c>
      <c r="T116">
        <v>1104.2351000000001</v>
      </c>
      <c r="AO116" t="s">
        <v>105</v>
      </c>
    </row>
    <row r="117" spans="1:42" x14ac:dyDescent="0.2">
      <c r="A117">
        <v>291</v>
      </c>
      <c r="B117" t="s">
        <v>25</v>
      </c>
      <c r="C117" t="s">
        <v>3</v>
      </c>
      <c r="D117">
        <v>2.0139999999999603E-2</v>
      </c>
      <c r="E117">
        <f t="shared" si="6"/>
        <v>20.139999999999603</v>
      </c>
      <c r="F117" s="12">
        <v>20398.3</v>
      </c>
      <c r="G117">
        <f t="shared" si="7"/>
        <v>1012.8252234359683</v>
      </c>
      <c r="H117" t="s">
        <v>27</v>
      </c>
      <c r="J117">
        <v>291</v>
      </c>
      <c r="K117" t="s">
        <v>25</v>
      </c>
      <c r="L117" t="s">
        <v>3</v>
      </c>
      <c r="M117">
        <v>2.0140000000000002E-2</v>
      </c>
      <c r="N117">
        <v>20.14</v>
      </c>
      <c r="O117">
        <v>20398.3</v>
      </c>
      <c r="P117">
        <v>1012.8252230000001</v>
      </c>
      <c r="Q117" t="s">
        <v>27</v>
      </c>
      <c r="S117" t="s">
        <v>96</v>
      </c>
      <c r="T117">
        <v>23</v>
      </c>
    </row>
    <row r="118" spans="1:42" x14ac:dyDescent="0.2">
      <c r="A118">
        <v>293</v>
      </c>
      <c r="B118" t="s">
        <v>25</v>
      </c>
      <c r="C118" t="s">
        <v>3</v>
      </c>
      <c r="D118">
        <v>2.1829999999999572E-2</v>
      </c>
      <c r="E118">
        <f t="shared" si="6"/>
        <v>21.829999999999572</v>
      </c>
      <c r="F118" s="12">
        <v>25971.3</v>
      </c>
      <c r="G118">
        <f t="shared" si="7"/>
        <v>1189.7068254695607</v>
      </c>
      <c r="H118" t="s">
        <v>27</v>
      </c>
      <c r="J118">
        <v>293</v>
      </c>
      <c r="K118" t="s">
        <v>25</v>
      </c>
      <c r="L118" t="s">
        <v>3</v>
      </c>
      <c r="M118">
        <v>2.1829999999999999E-2</v>
      </c>
      <c r="N118">
        <v>21.83</v>
      </c>
      <c r="O118">
        <v>25971.3</v>
      </c>
      <c r="P118">
        <v>1189.706825</v>
      </c>
      <c r="Q118" t="s">
        <v>27</v>
      </c>
    </row>
    <row r="119" spans="1:42" x14ac:dyDescent="0.2">
      <c r="A119">
        <v>294</v>
      </c>
      <c r="B119" t="s">
        <v>29</v>
      </c>
      <c r="C119" t="s">
        <v>3</v>
      </c>
      <c r="D119">
        <v>2.0670000000000854E-2</v>
      </c>
      <c r="E119">
        <f t="shared" si="6"/>
        <v>20.670000000000854</v>
      </c>
      <c r="F119" s="12">
        <v>24489</v>
      </c>
      <c r="G119">
        <f t="shared" si="7"/>
        <v>1184.7605224963227</v>
      </c>
      <c r="H119" t="s">
        <v>33</v>
      </c>
      <c r="J119">
        <v>294</v>
      </c>
      <c r="K119" t="s">
        <v>29</v>
      </c>
      <c r="L119" t="s">
        <v>3</v>
      </c>
      <c r="M119">
        <v>2.0670000000000001E-2</v>
      </c>
      <c r="N119">
        <v>20.67</v>
      </c>
      <c r="O119">
        <v>24489</v>
      </c>
      <c r="P119">
        <v>1184.760522</v>
      </c>
      <c r="Q119" t="s">
        <v>33</v>
      </c>
      <c r="S119" t="s">
        <v>97</v>
      </c>
      <c r="AO119" t="s">
        <v>60</v>
      </c>
    </row>
    <row r="120" spans="1:42" x14ac:dyDescent="0.2">
      <c r="A120">
        <v>296</v>
      </c>
      <c r="B120" t="s">
        <v>35</v>
      </c>
      <c r="C120" t="s">
        <v>3</v>
      </c>
      <c r="D120">
        <v>2.5400000000001199E-2</v>
      </c>
      <c r="E120">
        <f t="shared" si="6"/>
        <v>25.400000000001199</v>
      </c>
      <c r="F120" s="12">
        <v>24346.9</v>
      </c>
      <c r="G120">
        <f t="shared" si="7"/>
        <v>958.5393700786949</v>
      </c>
      <c r="H120" t="s">
        <v>27</v>
      </c>
      <c r="J120">
        <v>296</v>
      </c>
      <c r="K120" t="s">
        <v>35</v>
      </c>
      <c r="L120" t="s">
        <v>3</v>
      </c>
      <c r="M120">
        <v>2.5399999999999999E-2</v>
      </c>
      <c r="N120">
        <v>25.4</v>
      </c>
      <c r="O120">
        <v>24346.9</v>
      </c>
      <c r="P120">
        <v>958.53937010000004</v>
      </c>
      <c r="Q120" t="s">
        <v>27</v>
      </c>
      <c r="S120" t="s">
        <v>98</v>
      </c>
      <c r="X120" t="s">
        <v>198</v>
      </c>
    </row>
    <row r="121" spans="1:42" x14ac:dyDescent="0.2">
      <c r="A121">
        <v>300</v>
      </c>
      <c r="B121" t="s">
        <v>29</v>
      </c>
      <c r="C121" t="s">
        <v>3</v>
      </c>
      <c r="D121">
        <v>2.2740000000000649E-2</v>
      </c>
      <c r="E121">
        <f t="shared" si="6"/>
        <v>22.740000000000649</v>
      </c>
      <c r="F121" s="12">
        <v>20079.8</v>
      </c>
      <c r="G121">
        <f t="shared" si="7"/>
        <v>883.01671064201525</v>
      </c>
      <c r="H121" t="s">
        <v>27</v>
      </c>
      <c r="J121">
        <v>300</v>
      </c>
      <c r="K121" t="s">
        <v>29</v>
      </c>
      <c r="L121" t="s">
        <v>3</v>
      </c>
      <c r="M121">
        <v>2.274E-2</v>
      </c>
      <c r="N121">
        <v>22.74</v>
      </c>
      <c r="O121">
        <v>20079.8</v>
      </c>
      <c r="P121">
        <v>883.01671060000001</v>
      </c>
      <c r="Q121" t="s">
        <v>27</v>
      </c>
      <c r="S121" t="s">
        <v>99</v>
      </c>
    </row>
    <row r="122" spans="1:42" x14ac:dyDescent="0.2">
      <c r="A122">
        <v>302</v>
      </c>
      <c r="B122" t="s">
        <v>29</v>
      </c>
      <c r="C122" t="s">
        <v>3</v>
      </c>
      <c r="D122">
        <v>1.9579999999999487E-2</v>
      </c>
      <c r="E122">
        <f t="shared" si="6"/>
        <v>19.579999999999487</v>
      </c>
      <c r="F122" s="12">
        <v>21593.7</v>
      </c>
      <c r="G122">
        <f t="shared" si="7"/>
        <v>1102.8447395301616</v>
      </c>
      <c r="H122" t="s">
        <v>33</v>
      </c>
      <c r="J122">
        <v>302</v>
      </c>
      <c r="K122" t="s">
        <v>29</v>
      </c>
      <c r="L122" t="s">
        <v>3</v>
      </c>
      <c r="M122">
        <v>1.958E-2</v>
      </c>
      <c r="N122">
        <v>19.579999999999998</v>
      </c>
      <c r="O122">
        <v>21593.7</v>
      </c>
      <c r="P122">
        <v>1102.84474</v>
      </c>
      <c r="Q122" t="s">
        <v>33</v>
      </c>
      <c r="S122" t="s">
        <v>35</v>
      </c>
      <c r="T122" t="s">
        <v>91</v>
      </c>
      <c r="U122" t="s">
        <v>100</v>
      </c>
      <c r="X122" t="s">
        <v>199</v>
      </c>
      <c r="Y122" t="s">
        <v>114</v>
      </c>
      <c r="Z122" t="s">
        <v>200</v>
      </c>
    </row>
    <row r="123" spans="1:42" x14ac:dyDescent="0.2">
      <c r="A123">
        <v>304</v>
      </c>
      <c r="B123" t="s">
        <v>29</v>
      </c>
      <c r="C123" t="s">
        <v>3</v>
      </c>
      <c r="D123">
        <v>1.7250000000000654E-2</v>
      </c>
      <c r="E123">
        <f t="shared" si="6"/>
        <v>17.250000000000654</v>
      </c>
      <c r="F123" s="12">
        <v>35718.199999999997</v>
      </c>
      <c r="G123">
        <f t="shared" si="7"/>
        <v>2070.6202898549936</v>
      </c>
      <c r="H123" t="s">
        <v>33</v>
      </c>
      <c r="J123">
        <v>304</v>
      </c>
      <c r="K123" t="s">
        <v>29</v>
      </c>
      <c r="L123" t="s">
        <v>3</v>
      </c>
      <c r="M123">
        <v>1.7250000000000001E-2</v>
      </c>
      <c r="N123">
        <v>17.25</v>
      </c>
      <c r="O123">
        <v>35718.199999999997</v>
      </c>
      <c r="P123">
        <v>2070.6202899999998</v>
      </c>
      <c r="Q123" t="s">
        <v>33</v>
      </c>
      <c r="S123">
        <v>0.96008000000000004</v>
      </c>
      <c r="T123" t="s">
        <v>91</v>
      </c>
      <c r="U123">
        <v>0.46500000000000002</v>
      </c>
      <c r="X123">
        <v>0.39200000000000002</v>
      </c>
      <c r="Y123">
        <v>1</v>
      </c>
      <c r="Z123" s="23">
        <v>0.53120000000000001</v>
      </c>
    </row>
    <row r="124" spans="1:42" x14ac:dyDescent="0.2">
      <c r="A124">
        <v>305</v>
      </c>
      <c r="B124" t="s">
        <v>35</v>
      </c>
      <c r="C124" t="s">
        <v>3</v>
      </c>
      <c r="D124">
        <v>2.3519999999999541E-2</v>
      </c>
      <c r="E124">
        <f t="shared" si="6"/>
        <v>23.519999999999541</v>
      </c>
      <c r="F124" s="12">
        <v>45627.1</v>
      </c>
      <c r="G124">
        <f t="shared" si="7"/>
        <v>1939.9277210884732</v>
      </c>
      <c r="H124" t="s">
        <v>27</v>
      </c>
      <c r="J124">
        <v>305</v>
      </c>
      <c r="K124" t="s">
        <v>35</v>
      </c>
      <c r="L124" t="s">
        <v>3</v>
      </c>
      <c r="M124">
        <v>2.3519999999999999E-2</v>
      </c>
      <c r="N124">
        <v>23.52</v>
      </c>
      <c r="O124">
        <v>45627.1</v>
      </c>
      <c r="P124">
        <v>1939.927721</v>
      </c>
      <c r="Q124" t="s">
        <v>27</v>
      </c>
    </row>
    <row r="125" spans="1:42" x14ac:dyDescent="0.2">
      <c r="A125">
        <v>311</v>
      </c>
      <c r="B125" t="s">
        <v>29</v>
      </c>
      <c r="C125" t="s">
        <v>3</v>
      </c>
      <c r="D125">
        <v>1.7660000000001119E-2</v>
      </c>
      <c r="E125">
        <f t="shared" si="6"/>
        <v>17.660000000001119</v>
      </c>
      <c r="F125" s="12">
        <v>10046.4</v>
      </c>
      <c r="G125">
        <f t="shared" si="7"/>
        <v>568.87882219701942</v>
      </c>
      <c r="H125" t="s">
        <v>33</v>
      </c>
      <c r="J125">
        <v>311</v>
      </c>
      <c r="K125" t="s">
        <v>29</v>
      </c>
      <c r="L125" t="s">
        <v>3</v>
      </c>
      <c r="M125">
        <v>1.7659999999999999E-2</v>
      </c>
      <c r="N125">
        <v>17.66</v>
      </c>
      <c r="O125">
        <v>10046.4</v>
      </c>
      <c r="P125">
        <v>568.87882219999995</v>
      </c>
      <c r="Q125" t="s">
        <v>33</v>
      </c>
      <c r="AO125" t="s">
        <v>90</v>
      </c>
    </row>
    <row r="126" spans="1:42" x14ac:dyDescent="0.2">
      <c r="A126">
        <v>314</v>
      </c>
      <c r="B126" t="s">
        <v>25</v>
      </c>
      <c r="C126" t="s">
        <v>3</v>
      </c>
      <c r="D126">
        <v>2.1180000000001087E-2</v>
      </c>
      <c r="E126">
        <f t="shared" si="6"/>
        <v>21.180000000001087</v>
      </c>
      <c r="F126" s="12">
        <v>27389.5</v>
      </c>
      <c r="G126">
        <f t="shared" si="7"/>
        <v>1293.1775259678279</v>
      </c>
      <c r="H126" t="s">
        <v>27</v>
      </c>
      <c r="J126">
        <v>314</v>
      </c>
      <c r="K126" t="s">
        <v>25</v>
      </c>
      <c r="L126" t="s">
        <v>3</v>
      </c>
      <c r="M126">
        <v>2.1180000000000001E-2</v>
      </c>
      <c r="N126">
        <v>21.18</v>
      </c>
      <c r="O126">
        <v>27389.5</v>
      </c>
      <c r="P126">
        <v>1293.1775259999999</v>
      </c>
      <c r="Q126" t="s">
        <v>27</v>
      </c>
      <c r="S126" t="s">
        <v>103</v>
      </c>
    </row>
    <row r="127" spans="1:42" x14ac:dyDescent="0.2">
      <c r="A127">
        <v>320</v>
      </c>
      <c r="B127" t="s">
        <v>25</v>
      </c>
      <c r="C127" t="s">
        <v>3</v>
      </c>
      <c r="D127">
        <v>2.3200000000000998E-2</v>
      </c>
      <c r="E127">
        <f t="shared" si="6"/>
        <v>23.200000000000998</v>
      </c>
      <c r="F127" s="12">
        <v>30726.5</v>
      </c>
      <c r="G127">
        <f t="shared" si="7"/>
        <v>1324.418103448219</v>
      </c>
      <c r="H127" t="s">
        <v>33</v>
      </c>
      <c r="J127">
        <v>320</v>
      </c>
      <c r="K127" t="s">
        <v>25</v>
      </c>
      <c r="L127" t="s">
        <v>3</v>
      </c>
      <c r="M127">
        <v>2.3199999999999998E-2</v>
      </c>
      <c r="N127">
        <v>23.2</v>
      </c>
      <c r="O127">
        <v>30726.5</v>
      </c>
      <c r="P127">
        <v>1324.418103</v>
      </c>
      <c r="Q127" t="s">
        <v>33</v>
      </c>
      <c r="S127" t="s">
        <v>60</v>
      </c>
      <c r="AO127" t="s">
        <v>91</v>
      </c>
      <c r="AP127" t="s">
        <v>91</v>
      </c>
    </row>
    <row r="128" spans="1:42" x14ac:dyDescent="0.2">
      <c r="A128">
        <v>321</v>
      </c>
      <c r="B128" t="s">
        <v>29</v>
      </c>
      <c r="C128" t="s">
        <v>2</v>
      </c>
      <c r="D128">
        <v>1.91599999999994E-2</v>
      </c>
      <c r="E128">
        <f t="shared" si="6"/>
        <v>19.1599999999994</v>
      </c>
      <c r="F128" s="12">
        <v>36956.400000000001</v>
      </c>
      <c r="G128">
        <f t="shared" si="7"/>
        <v>1928.8308977036095</v>
      </c>
      <c r="H128" t="s">
        <v>33</v>
      </c>
      <c r="J128">
        <v>321</v>
      </c>
      <c r="K128" t="s">
        <v>29</v>
      </c>
      <c r="L128" t="s">
        <v>2</v>
      </c>
      <c r="M128">
        <v>1.916E-2</v>
      </c>
      <c r="N128">
        <v>19.16</v>
      </c>
      <c r="O128">
        <v>36956.400000000001</v>
      </c>
      <c r="P128">
        <v>1928.8308979999999</v>
      </c>
      <c r="Q128" t="s">
        <v>33</v>
      </c>
      <c r="S128" t="s">
        <v>127</v>
      </c>
      <c r="AO128" t="s">
        <v>69</v>
      </c>
      <c r="AP128">
        <v>1454.5159000000001</v>
      </c>
    </row>
    <row r="129" spans="1:42" x14ac:dyDescent="0.2">
      <c r="A129">
        <v>322</v>
      </c>
      <c r="B129" t="s">
        <v>29</v>
      </c>
      <c r="C129" t="s">
        <v>3</v>
      </c>
      <c r="D129">
        <v>1.8589999999999662E-2</v>
      </c>
      <c r="E129">
        <f t="shared" si="6"/>
        <v>18.589999999999662</v>
      </c>
      <c r="F129" s="12">
        <v>30288</v>
      </c>
      <c r="G129">
        <f t="shared" si="7"/>
        <v>1629.2630446476896</v>
      </c>
      <c r="H129" t="s">
        <v>33</v>
      </c>
      <c r="J129">
        <v>322</v>
      </c>
      <c r="K129" t="s">
        <v>29</v>
      </c>
      <c r="L129" t="s">
        <v>3</v>
      </c>
      <c r="M129">
        <v>1.8589999999999999E-2</v>
      </c>
      <c r="N129">
        <v>18.59</v>
      </c>
      <c r="O129">
        <v>30288</v>
      </c>
      <c r="P129">
        <v>1629.2630449999999</v>
      </c>
      <c r="Q129" t="s">
        <v>33</v>
      </c>
      <c r="X129" t="s">
        <v>5</v>
      </c>
      <c r="AO129" t="s">
        <v>92</v>
      </c>
      <c r="AP129">
        <v>346.12290000000002</v>
      </c>
    </row>
    <row r="130" spans="1:42" x14ac:dyDescent="0.2">
      <c r="A130">
        <v>328</v>
      </c>
      <c r="B130" t="s">
        <v>29</v>
      </c>
      <c r="C130" t="s">
        <v>3</v>
      </c>
      <c r="D130">
        <v>1.9589999999999108E-2</v>
      </c>
      <c r="E130">
        <f t="shared" si="6"/>
        <v>19.589999999999108</v>
      </c>
      <c r="F130" s="12">
        <v>30857.599999999999</v>
      </c>
      <c r="G130">
        <f t="shared" si="7"/>
        <v>1575.1710056151815</v>
      </c>
      <c r="H130" t="s">
        <v>33</v>
      </c>
      <c r="J130">
        <v>328</v>
      </c>
      <c r="K130" t="s">
        <v>29</v>
      </c>
      <c r="L130" t="s">
        <v>3</v>
      </c>
      <c r="M130">
        <v>1.959E-2</v>
      </c>
      <c r="N130">
        <v>19.59</v>
      </c>
      <c r="O130">
        <v>30857.599999999999</v>
      </c>
      <c r="P130">
        <v>1575.171006</v>
      </c>
      <c r="Q130" t="s">
        <v>33</v>
      </c>
      <c r="S130" t="s">
        <v>90</v>
      </c>
      <c r="X130" t="s">
        <v>207</v>
      </c>
      <c r="AO130" t="s">
        <v>93</v>
      </c>
      <c r="AP130">
        <v>65.411079999999998</v>
      </c>
    </row>
    <row r="131" spans="1:42" x14ac:dyDescent="0.2">
      <c r="A131">
        <v>329</v>
      </c>
      <c r="B131" t="s">
        <v>35</v>
      </c>
      <c r="C131" t="s">
        <v>2</v>
      </c>
      <c r="D131">
        <v>2.5330000000000297E-2</v>
      </c>
      <c r="E131">
        <f t="shared" si="6"/>
        <v>25.330000000000297</v>
      </c>
      <c r="F131" s="12">
        <v>29874.799999999999</v>
      </c>
      <c r="G131">
        <f t="shared" si="7"/>
        <v>1179.4236083695084</v>
      </c>
      <c r="H131" t="s">
        <v>27</v>
      </c>
      <c r="J131">
        <v>329</v>
      </c>
      <c r="K131" t="s">
        <v>35</v>
      </c>
      <c r="L131" t="s">
        <v>2</v>
      </c>
      <c r="M131">
        <v>2.5329999999999998E-2</v>
      </c>
      <c r="N131">
        <v>25.33</v>
      </c>
      <c r="O131">
        <v>29874.799999999999</v>
      </c>
      <c r="P131">
        <v>1179.4236080000001</v>
      </c>
      <c r="Q131" t="s">
        <v>27</v>
      </c>
      <c r="S131" t="s">
        <v>69</v>
      </c>
      <c r="T131">
        <v>1229.3942999999999</v>
      </c>
      <c r="AO131" t="s">
        <v>94</v>
      </c>
      <c r="AP131">
        <v>1588.7283</v>
      </c>
    </row>
    <row r="132" spans="1:42" x14ac:dyDescent="0.2">
      <c r="A132">
        <v>330</v>
      </c>
      <c r="B132" t="s">
        <v>35</v>
      </c>
      <c r="C132" t="s">
        <v>2</v>
      </c>
      <c r="D132">
        <v>2.2240000000000038E-2</v>
      </c>
      <c r="E132">
        <f t="shared" ref="E132:E163" si="8">D132*1000</f>
        <v>22.240000000000038</v>
      </c>
      <c r="F132" s="12">
        <v>23333</v>
      </c>
      <c r="G132">
        <f t="shared" ref="G132:G163" si="9">F132/E132</f>
        <v>1049.1456834532357</v>
      </c>
      <c r="H132" t="s">
        <v>27</v>
      </c>
      <c r="J132">
        <v>330</v>
      </c>
      <c r="K132" t="s">
        <v>35</v>
      </c>
      <c r="L132" t="s">
        <v>2</v>
      </c>
      <c r="M132">
        <v>2.2239999999999999E-2</v>
      </c>
      <c r="N132">
        <v>22.24</v>
      </c>
      <c r="O132">
        <v>23333</v>
      </c>
      <c r="P132">
        <v>1049.145683</v>
      </c>
      <c r="Q132" t="s">
        <v>27</v>
      </c>
      <c r="S132" t="s">
        <v>92</v>
      </c>
      <c r="T132">
        <v>187.25104999999999</v>
      </c>
      <c r="X132" t="s">
        <v>107</v>
      </c>
      <c r="AO132" t="s">
        <v>95</v>
      </c>
      <c r="AP132">
        <v>1320.3034</v>
      </c>
    </row>
    <row r="133" spans="1:42" x14ac:dyDescent="0.2">
      <c r="A133">
        <v>333</v>
      </c>
      <c r="B133" t="s">
        <v>29</v>
      </c>
      <c r="C133" t="s">
        <v>2</v>
      </c>
      <c r="D133">
        <v>2.3499999999998522E-2</v>
      </c>
      <c r="E133">
        <f t="shared" si="8"/>
        <v>23.499999999998522</v>
      </c>
      <c r="F133" s="12">
        <v>39380</v>
      </c>
      <c r="G133">
        <f t="shared" si="9"/>
        <v>1675.7446808511693</v>
      </c>
      <c r="H133" t="s">
        <v>33</v>
      </c>
      <c r="J133">
        <v>333</v>
      </c>
      <c r="K133" t="s">
        <v>29</v>
      </c>
      <c r="L133" t="s">
        <v>2</v>
      </c>
      <c r="M133">
        <v>2.35E-2</v>
      </c>
      <c r="N133">
        <v>23.5</v>
      </c>
      <c r="O133">
        <v>39380</v>
      </c>
      <c r="P133">
        <v>1675.7446809999999</v>
      </c>
      <c r="Q133" t="s">
        <v>33</v>
      </c>
      <c r="S133" t="s">
        <v>93</v>
      </c>
      <c r="T133">
        <v>39.044542</v>
      </c>
      <c r="X133">
        <v>3</v>
      </c>
      <c r="AO133" t="s">
        <v>96</v>
      </c>
      <c r="AP133">
        <v>28</v>
      </c>
    </row>
    <row r="134" spans="1:42" x14ac:dyDescent="0.2">
      <c r="A134">
        <v>338</v>
      </c>
      <c r="B134" t="s">
        <v>29</v>
      </c>
      <c r="C134" t="s">
        <v>3</v>
      </c>
      <c r="D134">
        <v>1.9149999999999778E-2</v>
      </c>
      <c r="E134">
        <f t="shared" si="8"/>
        <v>19.149999999999778</v>
      </c>
      <c r="F134" s="12">
        <v>16387.400000000001</v>
      </c>
      <c r="G134">
        <f t="shared" si="9"/>
        <v>855.73890339426589</v>
      </c>
      <c r="H134" t="s">
        <v>33</v>
      </c>
      <c r="J134">
        <v>338</v>
      </c>
      <c r="K134" t="s">
        <v>29</v>
      </c>
      <c r="L134" t="s">
        <v>3</v>
      </c>
      <c r="M134">
        <v>1.915E-2</v>
      </c>
      <c r="N134">
        <v>19.149999999999999</v>
      </c>
      <c r="O134">
        <v>16387.400000000001</v>
      </c>
      <c r="P134">
        <v>855.73890340000003</v>
      </c>
      <c r="Q134" t="s">
        <v>33</v>
      </c>
      <c r="S134" t="s">
        <v>94</v>
      </c>
      <c r="T134">
        <v>1310.3677</v>
      </c>
    </row>
    <row r="135" spans="1:42" x14ac:dyDescent="0.2">
      <c r="A135">
        <v>339</v>
      </c>
      <c r="B135" t="s">
        <v>25</v>
      </c>
      <c r="C135" t="s">
        <v>3</v>
      </c>
      <c r="D135">
        <v>2.3200000000000998E-2</v>
      </c>
      <c r="E135">
        <f t="shared" si="8"/>
        <v>23.200000000000998</v>
      </c>
      <c r="F135" s="12">
        <v>25799.7</v>
      </c>
      <c r="G135">
        <f t="shared" si="9"/>
        <v>1112.0560344827109</v>
      </c>
      <c r="H135" t="s">
        <v>33</v>
      </c>
      <c r="J135">
        <v>339</v>
      </c>
      <c r="K135" t="s">
        <v>25</v>
      </c>
      <c r="L135" t="s">
        <v>3</v>
      </c>
      <c r="M135">
        <v>2.3199999999999998E-2</v>
      </c>
      <c r="N135">
        <v>23.2</v>
      </c>
      <c r="O135">
        <v>25799.7</v>
      </c>
      <c r="P135">
        <v>1112.056034</v>
      </c>
      <c r="Q135" t="s">
        <v>33</v>
      </c>
      <c r="S135" t="s">
        <v>95</v>
      </c>
      <c r="T135">
        <v>1148.4209000000001</v>
      </c>
    </row>
    <row r="136" spans="1:42" x14ac:dyDescent="0.2">
      <c r="A136">
        <v>343</v>
      </c>
      <c r="B136" t="s">
        <v>35</v>
      </c>
      <c r="C136" t="s">
        <v>2</v>
      </c>
      <c r="D136">
        <v>2.4779999999999802E-2</v>
      </c>
      <c r="E136">
        <f t="shared" si="8"/>
        <v>24.779999999999802</v>
      </c>
      <c r="F136" s="12">
        <v>23940</v>
      </c>
      <c r="G136">
        <f t="shared" si="9"/>
        <v>966.10169491526199</v>
      </c>
      <c r="H136" t="s">
        <v>27</v>
      </c>
      <c r="J136">
        <v>343</v>
      </c>
      <c r="K136" t="s">
        <v>35</v>
      </c>
      <c r="L136" t="s">
        <v>2</v>
      </c>
      <c r="M136">
        <v>2.478E-2</v>
      </c>
      <c r="N136">
        <v>24.78</v>
      </c>
      <c r="O136">
        <v>23940</v>
      </c>
      <c r="P136">
        <v>966.10169489999998</v>
      </c>
      <c r="Q136" t="s">
        <v>27</v>
      </c>
      <c r="S136" t="s">
        <v>96</v>
      </c>
      <c r="T136">
        <v>23</v>
      </c>
    </row>
    <row r="137" spans="1:42" x14ac:dyDescent="0.2">
      <c r="A137">
        <v>347</v>
      </c>
      <c r="B137" t="s">
        <v>35</v>
      </c>
      <c r="C137" t="s">
        <v>3</v>
      </c>
      <c r="D137">
        <v>2.3430000000001172E-2</v>
      </c>
      <c r="E137">
        <f t="shared" si="8"/>
        <v>23.430000000001172</v>
      </c>
      <c r="F137" s="12">
        <v>24482.7</v>
      </c>
      <c r="G137">
        <f t="shared" si="9"/>
        <v>1044.9295774647364</v>
      </c>
      <c r="H137" t="s">
        <v>27</v>
      </c>
      <c r="J137">
        <v>347</v>
      </c>
      <c r="K137" t="s">
        <v>35</v>
      </c>
      <c r="L137" t="s">
        <v>3</v>
      </c>
      <c r="M137">
        <v>2.3429999999999999E-2</v>
      </c>
      <c r="N137">
        <v>23.43</v>
      </c>
      <c r="O137">
        <v>24482.7</v>
      </c>
      <c r="P137">
        <v>1044.9295770000001</v>
      </c>
      <c r="Q137" t="s">
        <v>27</v>
      </c>
    </row>
    <row r="138" spans="1:42" x14ac:dyDescent="0.2">
      <c r="A138">
        <v>349</v>
      </c>
      <c r="B138" t="s">
        <v>29</v>
      </c>
      <c r="C138" t="s">
        <v>3</v>
      </c>
      <c r="D138">
        <v>1.9339999999999691E-2</v>
      </c>
      <c r="E138">
        <f t="shared" si="8"/>
        <v>19.339999999999691</v>
      </c>
      <c r="F138" s="12">
        <v>41300.300000000003</v>
      </c>
      <c r="G138">
        <f t="shared" si="9"/>
        <v>2135.4860392968285</v>
      </c>
      <c r="H138" t="s">
        <v>33</v>
      </c>
      <c r="J138">
        <v>349</v>
      </c>
      <c r="K138" t="s">
        <v>29</v>
      </c>
      <c r="L138" t="s">
        <v>3</v>
      </c>
      <c r="M138">
        <v>1.934E-2</v>
      </c>
      <c r="N138">
        <v>19.34</v>
      </c>
      <c r="O138">
        <v>41300.300000000003</v>
      </c>
      <c r="P138">
        <v>2135.4860389999999</v>
      </c>
      <c r="Q138" t="s">
        <v>33</v>
      </c>
      <c r="S138" t="s">
        <v>97</v>
      </c>
      <c r="T138" t="s">
        <v>91</v>
      </c>
      <c r="X138" t="s">
        <v>193</v>
      </c>
    </row>
    <row r="139" spans="1:42" x14ac:dyDescent="0.2">
      <c r="A139">
        <v>356</v>
      </c>
      <c r="B139" t="s">
        <v>35</v>
      </c>
      <c r="C139" t="s">
        <v>3</v>
      </c>
      <c r="D139">
        <v>2.0749999999999602E-2</v>
      </c>
      <c r="E139">
        <f t="shared" si="8"/>
        <v>20.749999999999602</v>
      </c>
      <c r="F139" s="12">
        <v>36478.699999999997</v>
      </c>
      <c r="G139">
        <f t="shared" si="9"/>
        <v>1758.0096385542504</v>
      </c>
      <c r="H139" t="s">
        <v>27</v>
      </c>
      <c r="J139">
        <v>356</v>
      </c>
      <c r="K139" t="s">
        <v>35</v>
      </c>
      <c r="L139" t="s">
        <v>3</v>
      </c>
      <c r="M139">
        <v>2.0750000000000001E-2</v>
      </c>
      <c r="N139">
        <v>20.75</v>
      </c>
      <c r="O139">
        <v>36478.699999999997</v>
      </c>
      <c r="P139">
        <v>1758.0096390000001</v>
      </c>
      <c r="Q139" t="s">
        <v>27</v>
      </c>
      <c r="S139" t="s">
        <v>98</v>
      </c>
    </row>
    <row r="140" spans="1:42" x14ac:dyDescent="0.2">
      <c r="A140">
        <v>357</v>
      </c>
      <c r="B140" t="s">
        <v>35</v>
      </c>
      <c r="C140" t="s">
        <v>3</v>
      </c>
      <c r="D140">
        <v>1.8670000000000186E-2</v>
      </c>
      <c r="E140">
        <f t="shared" si="8"/>
        <v>18.670000000000186</v>
      </c>
      <c r="F140" s="12">
        <v>32953</v>
      </c>
      <c r="G140">
        <f t="shared" si="9"/>
        <v>1765.0241028387611</v>
      </c>
      <c r="H140" t="s">
        <v>27</v>
      </c>
      <c r="J140">
        <v>357</v>
      </c>
      <c r="K140" t="s">
        <v>35</v>
      </c>
      <c r="L140" t="s">
        <v>3</v>
      </c>
      <c r="M140">
        <v>1.8669999999999999E-2</v>
      </c>
      <c r="N140">
        <v>18.670000000000002</v>
      </c>
      <c r="O140">
        <v>32953</v>
      </c>
      <c r="P140">
        <v>1765.024103</v>
      </c>
      <c r="Q140" t="s">
        <v>27</v>
      </c>
      <c r="S140" t="s">
        <v>99</v>
      </c>
      <c r="X140" t="s">
        <v>158</v>
      </c>
      <c r="Y140" t="s">
        <v>82</v>
      </c>
      <c r="Z140" t="s">
        <v>194</v>
      </c>
      <c r="AA140" t="s">
        <v>195</v>
      </c>
      <c r="AB140" t="s">
        <v>196</v>
      </c>
      <c r="AC140" t="s">
        <v>197</v>
      </c>
    </row>
    <row r="141" spans="1:42" x14ac:dyDescent="0.2">
      <c r="A141">
        <v>358</v>
      </c>
      <c r="B141" t="s">
        <v>25</v>
      </c>
      <c r="C141" t="s">
        <v>3</v>
      </c>
      <c r="D141">
        <v>2.1030000000001436E-2</v>
      </c>
      <c r="E141">
        <f t="shared" si="8"/>
        <v>21.030000000001436</v>
      </c>
      <c r="F141" s="12">
        <v>21383</v>
      </c>
      <c r="G141">
        <f t="shared" si="9"/>
        <v>1016.7855444602253</v>
      </c>
      <c r="H141" t="s">
        <v>33</v>
      </c>
      <c r="J141">
        <v>358</v>
      </c>
      <c r="K141" t="s">
        <v>25</v>
      </c>
      <c r="L141" t="s">
        <v>3</v>
      </c>
      <c r="M141">
        <v>2.103E-2</v>
      </c>
      <c r="N141">
        <v>21.03</v>
      </c>
      <c r="O141">
        <v>21383</v>
      </c>
      <c r="P141" s="10">
        <v>1016.785544</v>
      </c>
      <c r="Q141" t="s">
        <v>33</v>
      </c>
      <c r="S141" t="s">
        <v>35</v>
      </c>
      <c r="U141" t="s">
        <v>100</v>
      </c>
      <c r="X141" t="s">
        <v>2</v>
      </c>
      <c r="Y141">
        <v>24</v>
      </c>
      <c r="Z141">
        <v>641</v>
      </c>
      <c r="AA141">
        <v>636</v>
      </c>
      <c r="AB141">
        <v>26.708300000000001</v>
      </c>
      <c r="AC141">
        <v>8.3000000000000004E-2</v>
      </c>
    </row>
    <row r="142" spans="1:42" x14ac:dyDescent="0.2">
      <c r="A142">
        <v>366</v>
      </c>
      <c r="B142" t="s">
        <v>35</v>
      </c>
      <c r="C142" t="s">
        <v>3</v>
      </c>
      <c r="D142">
        <v>2.7169999999999916E-2</v>
      </c>
      <c r="E142">
        <f t="shared" si="8"/>
        <v>27.169999999999916</v>
      </c>
      <c r="F142" s="12">
        <v>40711</v>
      </c>
      <c r="G142">
        <f t="shared" si="9"/>
        <v>1498.3805668016241</v>
      </c>
      <c r="H142" t="s">
        <v>27</v>
      </c>
      <c r="J142">
        <v>366</v>
      </c>
      <c r="K142" t="s">
        <v>35</v>
      </c>
      <c r="L142" t="s">
        <v>3</v>
      </c>
      <c r="M142">
        <v>2.717E-2</v>
      </c>
      <c r="N142">
        <v>27.17</v>
      </c>
      <c r="O142">
        <v>40711</v>
      </c>
      <c r="P142">
        <v>1498.3805669999999</v>
      </c>
      <c r="Q142" t="s">
        <v>27</v>
      </c>
      <c r="S142">
        <v>0.976329</v>
      </c>
      <c r="U142">
        <v>0.83520000000000005</v>
      </c>
      <c r="X142" t="s">
        <v>3</v>
      </c>
      <c r="Y142">
        <v>28</v>
      </c>
      <c r="Z142">
        <v>737</v>
      </c>
      <c r="AA142">
        <v>742</v>
      </c>
      <c r="AB142">
        <v>26.321400000000001</v>
      </c>
      <c r="AC142">
        <v>-8.3000000000000004E-2</v>
      </c>
    </row>
    <row r="143" spans="1:42" x14ac:dyDescent="0.2">
      <c r="A143">
        <v>372</v>
      </c>
      <c r="B143" t="s">
        <v>35</v>
      </c>
      <c r="C143" t="s">
        <v>3</v>
      </c>
      <c r="D143">
        <v>2.117999999999931E-2</v>
      </c>
      <c r="E143">
        <f t="shared" si="8"/>
        <v>21.17999999999931</v>
      </c>
      <c r="F143" s="12">
        <v>20127.099999999999</v>
      </c>
      <c r="G143">
        <f t="shared" si="9"/>
        <v>950.28800755432735</v>
      </c>
      <c r="H143" t="s">
        <v>27</v>
      </c>
      <c r="J143">
        <v>372</v>
      </c>
      <c r="K143" t="s">
        <v>35</v>
      </c>
      <c r="L143" t="s">
        <v>3</v>
      </c>
      <c r="M143">
        <v>2.1180000000000001E-2</v>
      </c>
      <c r="N143">
        <v>21.18</v>
      </c>
      <c r="O143">
        <v>20127.099999999999</v>
      </c>
      <c r="P143">
        <v>950.28800760000001</v>
      </c>
      <c r="Q143" t="s">
        <v>27</v>
      </c>
    </row>
    <row r="144" spans="1:42" x14ac:dyDescent="0.2">
      <c r="A144">
        <v>374</v>
      </c>
      <c r="B144" t="s">
        <v>25</v>
      </c>
      <c r="C144" t="s">
        <v>3</v>
      </c>
      <c r="D144">
        <v>2.7499999999999858E-2</v>
      </c>
      <c r="E144">
        <f t="shared" si="8"/>
        <v>27.499999999999858</v>
      </c>
      <c r="F144" s="12">
        <v>60703</v>
      </c>
      <c r="G144" s="23">
        <f t="shared" si="9"/>
        <v>2207.3818181818297</v>
      </c>
      <c r="H144" t="s">
        <v>33</v>
      </c>
      <c r="J144">
        <v>374</v>
      </c>
      <c r="K144" t="s">
        <v>25</v>
      </c>
      <c r="L144" t="s">
        <v>3</v>
      </c>
      <c r="M144">
        <v>2.75E-2</v>
      </c>
      <c r="N144">
        <v>27.5</v>
      </c>
      <c r="O144">
        <v>60703</v>
      </c>
      <c r="Q144" t="s">
        <v>33</v>
      </c>
    </row>
    <row r="145" spans="1:26" x14ac:dyDescent="0.2">
      <c r="A145">
        <v>377</v>
      </c>
      <c r="B145" t="s">
        <v>25</v>
      </c>
      <c r="C145" t="s">
        <v>3</v>
      </c>
      <c r="D145">
        <v>2.2629999999999484E-2</v>
      </c>
      <c r="E145">
        <f t="shared" si="8"/>
        <v>22.629999999999484</v>
      </c>
      <c r="F145" s="12">
        <v>31339.4</v>
      </c>
      <c r="G145">
        <f t="shared" si="9"/>
        <v>1384.8608042421881</v>
      </c>
      <c r="H145" t="s">
        <v>33</v>
      </c>
      <c r="J145">
        <v>377</v>
      </c>
      <c r="K145" t="s">
        <v>25</v>
      </c>
      <c r="L145" t="s">
        <v>3</v>
      </c>
      <c r="M145">
        <v>2.2630000000000001E-2</v>
      </c>
      <c r="N145">
        <v>22.63</v>
      </c>
      <c r="O145">
        <v>31339.4</v>
      </c>
      <c r="P145">
        <v>1384.8608039999999</v>
      </c>
      <c r="Q145" t="s">
        <v>33</v>
      </c>
      <c r="S145" t="s">
        <v>104</v>
      </c>
    </row>
    <row r="146" spans="1:26" x14ac:dyDescent="0.2">
      <c r="A146">
        <v>378</v>
      </c>
      <c r="B146" t="s">
        <v>35</v>
      </c>
      <c r="C146" t="s">
        <v>3</v>
      </c>
      <c r="D146">
        <v>1.9120000000000914E-2</v>
      </c>
      <c r="E146">
        <f t="shared" si="8"/>
        <v>19.120000000000914</v>
      </c>
      <c r="F146" s="12">
        <v>27883.1</v>
      </c>
      <c r="G146">
        <f t="shared" si="9"/>
        <v>1458.3211297070432</v>
      </c>
      <c r="H146" t="s">
        <v>27</v>
      </c>
      <c r="J146">
        <v>378</v>
      </c>
      <c r="K146" t="s">
        <v>35</v>
      </c>
      <c r="L146" t="s">
        <v>3</v>
      </c>
      <c r="M146">
        <v>1.9120000000000002E-2</v>
      </c>
      <c r="N146">
        <v>19.12</v>
      </c>
      <c r="O146">
        <v>27883.1</v>
      </c>
      <c r="P146">
        <v>1458.32113</v>
      </c>
      <c r="Q146" t="s">
        <v>27</v>
      </c>
      <c r="S146" t="s">
        <v>60</v>
      </c>
    </row>
    <row r="147" spans="1:26" x14ac:dyDescent="0.2">
      <c r="A147">
        <v>379</v>
      </c>
      <c r="B147" t="s">
        <v>25</v>
      </c>
      <c r="C147" t="s">
        <v>3</v>
      </c>
      <c r="D147">
        <v>2.5399999999999423E-2</v>
      </c>
      <c r="E147">
        <f t="shared" si="8"/>
        <v>25.399999999999423</v>
      </c>
      <c r="F147" s="12">
        <v>54364.7</v>
      </c>
      <c r="G147" s="23">
        <f t="shared" si="9"/>
        <v>2140.3425196850881</v>
      </c>
      <c r="H147" t="s">
        <v>27</v>
      </c>
      <c r="J147">
        <v>379</v>
      </c>
      <c r="K147" t="s">
        <v>25</v>
      </c>
      <c r="L147" t="s">
        <v>3</v>
      </c>
      <c r="M147">
        <v>2.5399999999999999E-2</v>
      </c>
      <c r="N147">
        <v>25.4</v>
      </c>
      <c r="O147">
        <v>54364.7</v>
      </c>
      <c r="Q147" t="s">
        <v>27</v>
      </c>
      <c r="S147" t="s">
        <v>128</v>
      </c>
      <c r="X147" t="s">
        <v>203</v>
      </c>
    </row>
    <row r="148" spans="1:26" x14ac:dyDescent="0.2">
      <c r="A148">
        <v>380</v>
      </c>
      <c r="B148" t="s">
        <v>29</v>
      </c>
      <c r="C148" t="s">
        <v>3</v>
      </c>
      <c r="D148">
        <v>1.6990000000001615E-2</v>
      </c>
      <c r="E148">
        <f t="shared" si="8"/>
        <v>16.990000000001615</v>
      </c>
      <c r="F148" s="12">
        <v>17197.599999999999</v>
      </c>
      <c r="G148">
        <f t="shared" si="9"/>
        <v>1012.2189523248007</v>
      </c>
      <c r="H148" t="s">
        <v>33</v>
      </c>
      <c r="J148">
        <v>380</v>
      </c>
      <c r="K148" t="s">
        <v>29</v>
      </c>
      <c r="L148" t="s">
        <v>3</v>
      </c>
      <c r="M148">
        <v>1.6990000000000002E-2</v>
      </c>
      <c r="N148">
        <v>16.989999999999998</v>
      </c>
      <c r="O148">
        <v>17197.599999999999</v>
      </c>
      <c r="P148">
        <v>1012.2189519999999</v>
      </c>
      <c r="Q148" t="s">
        <v>33</v>
      </c>
    </row>
    <row r="149" spans="1:26" x14ac:dyDescent="0.2">
      <c r="A149">
        <v>381</v>
      </c>
      <c r="B149" t="s">
        <v>29</v>
      </c>
      <c r="C149" t="s">
        <v>3</v>
      </c>
      <c r="D149">
        <v>1.8340000000000245E-2</v>
      </c>
      <c r="E149">
        <f t="shared" si="8"/>
        <v>18.340000000000245</v>
      </c>
      <c r="F149" s="12">
        <v>32100.2</v>
      </c>
      <c r="G149">
        <f t="shared" si="9"/>
        <v>1750.2835332606091</v>
      </c>
      <c r="H149" t="s">
        <v>33</v>
      </c>
      <c r="J149">
        <v>381</v>
      </c>
      <c r="K149" t="s">
        <v>29</v>
      </c>
      <c r="L149" t="s">
        <v>3</v>
      </c>
      <c r="M149">
        <v>1.8339999999999999E-2</v>
      </c>
      <c r="N149">
        <v>18.34</v>
      </c>
      <c r="O149">
        <v>32100.2</v>
      </c>
      <c r="P149">
        <v>1750.283533</v>
      </c>
      <c r="Q149" t="s">
        <v>33</v>
      </c>
      <c r="S149" t="s">
        <v>90</v>
      </c>
      <c r="X149" t="s">
        <v>204</v>
      </c>
      <c r="Y149" t="s">
        <v>205</v>
      </c>
      <c r="Z149" t="s">
        <v>206</v>
      </c>
    </row>
    <row r="150" spans="1:26" x14ac:dyDescent="0.2">
      <c r="A150">
        <v>384</v>
      </c>
      <c r="B150" t="s">
        <v>35</v>
      </c>
      <c r="C150" t="s">
        <v>2</v>
      </c>
      <c r="D150">
        <v>2.4949999999998695E-2</v>
      </c>
      <c r="E150">
        <f t="shared" si="8"/>
        <v>24.949999999998695</v>
      </c>
      <c r="F150" s="12">
        <v>36505.4</v>
      </c>
      <c r="G150">
        <f t="shared" si="9"/>
        <v>1463.1422845692148</v>
      </c>
      <c r="H150" t="s">
        <v>27</v>
      </c>
      <c r="J150">
        <v>384</v>
      </c>
      <c r="K150" t="s">
        <v>35</v>
      </c>
      <c r="L150" t="s">
        <v>2</v>
      </c>
      <c r="M150">
        <v>2.495E-2</v>
      </c>
      <c r="N150">
        <v>24.95</v>
      </c>
      <c r="O150">
        <v>36505.4</v>
      </c>
      <c r="P150">
        <v>1463.1422849999999</v>
      </c>
      <c r="Q150" t="s">
        <v>27</v>
      </c>
      <c r="S150" t="s">
        <v>69</v>
      </c>
      <c r="T150">
        <v>1478.3688999999999</v>
      </c>
      <c r="X150">
        <v>641</v>
      </c>
      <c r="Y150">
        <v>8.2600000000000007E-2</v>
      </c>
      <c r="Z150">
        <v>0.93420000000000003</v>
      </c>
    </row>
    <row r="151" spans="1:26" x14ac:dyDescent="0.2">
      <c r="A151">
        <v>387</v>
      </c>
      <c r="B151" t="s">
        <v>35</v>
      </c>
      <c r="C151" t="s">
        <v>2</v>
      </c>
      <c r="D151">
        <v>2.0850000000001145E-2</v>
      </c>
      <c r="E151">
        <f t="shared" si="8"/>
        <v>20.850000000001145</v>
      </c>
      <c r="F151" s="12">
        <v>37843.9</v>
      </c>
      <c r="G151">
        <f t="shared" si="9"/>
        <v>1815.0551558752002</v>
      </c>
      <c r="H151" t="s">
        <v>27</v>
      </c>
      <c r="J151">
        <v>387</v>
      </c>
      <c r="K151" t="s">
        <v>35</v>
      </c>
      <c r="L151" t="s">
        <v>2</v>
      </c>
      <c r="M151">
        <v>2.085E-2</v>
      </c>
      <c r="N151">
        <v>20.85</v>
      </c>
      <c r="O151">
        <v>37843.9</v>
      </c>
      <c r="P151">
        <v>1815.0551559999999</v>
      </c>
      <c r="Q151" t="s">
        <v>27</v>
      </c>
      <c r="S151" t="s">
        <v>92</v>
      </c>
      <c r="T151">
        <v>356.54556000000002</v>
      </c>
    </row>
    <row r="152" spans="1:26" x14ac:dyDescent="0.2">
      <c r="A152">
        <v>388</v>
      </c>
      <c r="B152" t="s">
        <v>29</v>
      </c>
      <c r="C152" t="s">
        <v>2</v>
      </c>
      <c r="D152">
        <v>1.8950000000000244E-2</v>
      </c>
      <c r="E152">
        <f t="shared" si="8"/>
        <v>18.950000000000244</v>
      </c>
      <c r="F152" s="12">
        <v>37850.800000000003</v>
      </c>
      <c r="G152">
        <f t="shared" si="9"/>
        <v>1997.4036939313728</v>
      </c>
      <c r="H152" t="s">
        <v>33</v>
      </c>
      <c r="J152">
        <v>388</v>
      </c>
      <c r="K152" t="s">
        <v>29</v>
      </c>
      <c r="L152" t="s">
        <v>2</v>
      </c>
      <c r="M152">
        <v>1.8950000000000002E-2</v>
      </c>
      <c r="N152">
        <v>18.95</v>
      </c>
      <c r="O152">
        <v>37850.800000000003</v>
      </c>
      <c r="P152">
        <v>1997.4036940000001</v>
      </c>
      <c r="Q152" t="s">
        <v>33</v>
      </c>
      <c r="S152" t="s">
        <v>93</v>
      </c>
      <c r="T152">
        <v>72.779557999999994</v>
      </c>
    </row>
    <row r="153" spans="1:26" x14ac:dyDescent="0.2">
      <c r="A153">
        <v>391</v>
      </c>
      <c r="B153" t="s">
        <v>29</v>
      </c>
      <c r="C153" t="s">
        <v>2</v>
      </c>
      <c r="D153">
        <v>2.178999999999931E-2</v>
      </c>
      <c r="E153">
        <f t="shared" si="8"/>
        <v>21.78999999999931</v>
      </c>
      <c r="F153" s="12">
        <v>31912.5</v>
      </c>
      <c r="G153">
        <f t="shared" si="9"/>
        <v>1464.547957778844</v>
      </c>
      <c r="H153" t="s">
        <v>33</v>
      </c>
      <c r="J153">
        <v>391</v>
      </c>
      <c r="K153" t="s">
        <v>29</v>
      </c>
      <c r="L153" t="s">
        <v>2</v>
      </c>
      <c r="M153">
        <v>2.179E-2</v>
      </c>
      <c r="N153">
        <v>21.79</v>
      </c>
      <c r="O153">
        <v>31912.5</v>
      </c>
      <c r="P153">
        <v>1464.5479580000001</v>
      </c>
      <c r="Q153" t="s">
        <v>33</v>
      </c>
      <c r="S153" t="s">
        <v>94</v>
      </c>
      <c r="T153">
        <v>1628.9249</v>
      </c>
    </row>
    <row r="154" spans="1:26" x14ac:dyDescent="0.2">
      <c r="A154">
        <v>392</v>
      </c>
      <c r="B154" t="s">
        <v>35</v>
      </c>
      <c r="C154" t="s">
        <v>2</v>
      </c>
      <c r="D154">
        <v>2.4430000000000618E-2</v>
      </c>
      <c r="E154">
        <f t="shared" si="8"/>
        <v>24.430000000000618</v>
      </c>
      <c r="F154" s="12">
        <v>48369.599999999999</v>
      </c>
      <c r="G154">
        <f t="shared" si="9"/>
        <v>1979.9263200981898</v>
      </c>
      <c r="H154" t="s">
        <v>27</v>
      </c>
      <c r="J154">
        <v>392</v>
      </c>
      <c r="K154" t="s">
        <v>35</v>
      </c>
      <c r="L154" t="s">
        <v>2</v>
      </c>
      <c r="M154">
        <v>2.443E-2</v>
      </c>
      <c r="N154">
        <v>24.43</v>
      </c>
      <c r="O154">
        <v>48369.599999999999</v>
      </c>
      <c r="P154">
        <v>1979.92632</v>
      </c>
      <c r="Q154" t="s">
        <v>27</v>
      </c>
      <c r="S154" t="s">
        <v>95</v>
      </c>
      <c r="T154">
        <v>1327.8128999999999</v>
      </c>
    </row>
    <row r="155" spans="1:26" x14ac:dyDescent="0.2">
      <c r="A155">
        <v>394</v>
      </c>
      <c r="B155" t="s">
        <v>29</v>
      </c>
      <c r="C155" t="s">
        <v>3</v>
      </c>
      <c r="D155">
        <v>1.9140000000000157E-2</v>
      </c>
      <c r="E155">
        <f t="shared" si="8"/>
        <v>19.140000000000157</v>
      </c>
      <c r="F155" s="12">
        <v>26218</v>
      </c>
      <c r="G155">
        <f t="shared" si="9"/>
        <v>1369.8014629049001</v>
      </c>
      <c r="H155" t="s">
        <v>33</v>
      </c>
      <c r="J155">
        <v>394</v>
      </c>
      <c r="K155" t="s">
        <v>29</v>
      </c>
      <c r="L155" t="s">
        <v>3</v>
      </c>
      <c r="M155">
        <v>1.9140000000000001E-2</v>
      </c>
      <c r="N155">
        <v>19.14</v>
      </c>
      <c r="O155">
        <v>26218</v>
      </c>
      <c r="P155">
        <v>1369.801463</v>
      </c>
      <c r="Q155" t="s">
        <v>33</v>
      </c>
      <c r="S155" t="s">
        <v>96</v>
      </c>
      <c r="T155">
        <v>24</v>
      </c>
      <c r="X155" t="s">
        <v>198</v>
      </c>
    </row>
    <row r="156" spans="1:26" x14ac:dyDescent="0.2">
      <c r="A156">
        <v>401</v>
      </c>
      <c r="B156" t="s">
        <v>25</v>
      </c>
      <c r="C156" t="s">
        <v>2</v>
      </c>
      <c r="D156">
        <v>2.2660000000000124E-2</v>
      </c>
      <c r="E156">
        <f t="shared" si="8"/>
        <v>22.660000000000124</v>
      </c>
      <c r="F156" s="12">
        <v>11897.8</v>
      </c>
      <c r="G156">
        <f t="shared" si="9"/>
        <v>525.0573698146485</v>
      </c>
      <c r="H156" t="s">
        <v>33</v>
      </c>
      <c r="J156">
        <v>401</v>
      </c>
      <c r="K156" t="s">
        <v>25</v>
      </c>
      <c r="L156" t="s">
        <v>2</v>
      </c>
      <c r="M156">
        <v>2.266E-2</v>
      </c>
      <c r="N156">
        <v>22.66</v>
      </c>
      <c r="O156">
        <v>11897.8</v>
      </c>
      <c r="P156">
        <v>525.05736979999995</v>
      </c>
      <c r="Q156" t="s">
        <v>33</v>
      </c>
    </row>
    <row r="157" spans="1:26" x14ac:dyDescent="0.2">
      <c r="A157">
        <v>403</v>
      </c>
      <c r="B157" t="s">
        <v>25</v>
      </c>
      <c r="C157" t="s">
        <v>3</v>
      </c>
      <c r="D157">
        <v>1.8980000000000885E-2</v>
      </c>
      <c r="E157">
        <f t="shared" si="8"/>
        <v>18.980000000000885</v>
      </c>
      <c r="F157" s="12">
        <v>26082.9</v>
      </c>
      <c r="G157">
        <f t="shared" si="9"/>
        <v>1374.2307692307052</v>
      </c>
      <c r="H157" t="s">
        <v>27</v>
      </c>
      <c r="J157">
        <v>403</v>
      </c>
      <c r="K157" t="s">
        <v>25</v>
      </c>
      <c r="L157" t="s">
        <v>3</v>
      </c>
      <c r="M157">
        <v>1.898E-2</v>
      </c>
      <c r="N157">
        <v>18.98</v>
      </c>
      <c r="O157">
        <v>26082.9</v>
      </c>
      <c r="P157">
        <v>1374.230769</v>
      </c>
      <c r="Q157" t="s">
        <v>27</v>
      </c>
      <c r="S157" t="s">
        <v>97</v>
      </c>
      <c r="X157" t="s">
        <v>199</v>
      </c>
      <c r="Y157" t="s">
        <v>114</v>
      </c>
      <c r="Z157" t="s">
        <v>200</v>
      </c>
    </row>
    <row r="158" spans="1:26" x14ac:dyDescent="0.2">
      <c r="A158">
        <v>405</v>
      </c>
      <c r="B158" t="s">
        <v>35</v>
      </c>
      <c r="C158" t="s">
        <v>2</v>
      </c>
      <c r="D158">
        <v>2.6600000000000179E-2</v>
      </c>
      <c r="E158">
        <f t="shared" si="8"/>
        <v>26.600000000000179</v>
      </c>
      <c r="F158" s="12">
        <v>24985.9</v>
      </c>
      <c r="G158">
        <f t="shared" si="9"/>
        <v>939.31954887217421</v>
      </c>
      <c r="H158" t="s">
        <v>27</v>
      </c>
      <c r="J158">
        <v>405</v>
      </c>
      <c r="K158" t="s">
        <v>35</v>
      </c>
      <c r="L158" t="s">
        <v>2</v>
      </c>
      <c r="M158">
        <v>2.6599999999999999E-2</v>
      </c>
      <c r="N158">
        <v>26.6</v>
      </c>
      <c r="O158">
        <v>24985.9</v>
      </c>
      <c r="P158">
        <v>939.31954889999997</v>
      </c>
      <c r="Q158" t="s">
        <v>27</v>
      </c>
      <c r="S158" t="s">
        <v>98</v>
      </c>
      <c r="X158">
        <v>8.3999999999999995E-3</v>
      </c>
      <c r="Y158">
        <v>1</v>
      </c>
      <c r="Z158" s="23">
        <v>0.92689999999999995</v>
      </c>
    </row>
    <row r="159" spans="1:26" x14ac:dyDescent="0.2">
      <c r="A159">
        <v>409</v>
      </c>
      <c r="B159" t="s">
        <v>29</v>
      </c>
      <c r="C159" t="s">
        <v>3</v>
      </c>
      <c r="D159">
        <v>2.2839999999998639E-2</v>
      </c>
      <c r="E159">
        <f t="shared" si="8"/>
        <v>22.839999999998639</v>
      </c>
      <c r="F159" s="12">
        <v>22431.3</v>
      </c>
      <c r="G159">
        <f t="shared" si="9"/>
        <v>982.10595446590787</v>
      </c>
      <c r="H159" t="s">
        <v>33</v>
      </c>
      <c r="J159">
        <v>409</v>
      </c>
      <c r="K159" t="s">
        <v>29</v>
      </c>
      <c r="L159" t="s">
        <v>3</v>
      </c>
      <c r="M159">
        <v>2.2839999999999999E-2</v>
      </c>
      <c r="N159">
        <v>22.84</v>
      </c>
      <c r="O159">
        <v>22431.3</v>
      </c>
      <c r="P159">
        <v>982.10595450000005</v>
      </c>
      <c r="Q159" t="s">
        <v>33</v>
      </c>
      <c r="S159" t="s">
        <v>99</v>
      </c>
    </row>
    <row r="160" spans="1:26" x14ac:dyDescent="0.2">
      <c r="A160">
        <v>413</v>
      </c>
      <c r="B160" t="s">
        <v>25</v>
      </c>
      <c r="C160" t="s">
        <v>2</v>
      </c>
      <c r="D160">
        <v>2.4190000000000822E-2</v>
      </c>
      <c r="E160">
        <f t="shared" si="8"/>
        <v>24.190000000000822</v>
      </c>
      <c r="F160" s="12">
        <v>48984.9</v>
      </c>
      <c r="G160">
        <f t="shared" si="9"/>
        <v>2025.0062009093979</v>
      </c>
      <c r="H160" t="s">
        <v>33</v>
      </c>
      <c r="J160">
        <v>413</v>
      </c>
      <c r="K160" t="s">
        <v>25</v>
      </c>
      <c r="L160" t="s">
        <v>2</v>
      </c>
      <c r="M160">
        <v>2.419E-2</v>
      </c>
      <c r="N160">
        <v>24.19</v>
      </c>
      <c r="O160">
        <v>48984.9</v>
      </c>
      <c r="P160">
        <v>2025.0062009999999</v>
      </c>
      <c r="Q160" t="s">
        <v>33</v>
      </c>
      <c r="S160" t="s">
        <v>35</v>
      </c>
      <c r="U160" t="s">
        <v>100</v>
      </c>
    </row>
    <row r="161" spans="1:29" x14ac:dyDescent="0.2">
      <c r="A161">
        <v>417</v>
      </c>
      <c r="B161" t="s">
        <v>35</v>
      </c>
      <c r="C161" t="s">
        <v>3</v>
      </c>
      <c r="D161">
        <v>2.1950000000000358E-2</v>
      </c>
      <c r="E161">
        <f t="shared" si="8"/>
        <v>21.950000000000358</v>
      </c>
      <c r="F161" s="12">
        <v>18324.900000000001</v>
      </c>
      <c r="G161">
        <f t="shared" si="9"/>
        <v>834.84738041000924</v>
      </c>
      <c r="H161" t="s">
        <v>27</v>
      </c>
      <c r="J161">
        <v>417</v>
      </c>
      <c r="K161" t="s">
        <v>35</v>
      </c>
      <c r="L161" t="s">
        <v>3</v>
      </c>
      <c r="M161">
        <v>2.1950000000000001E-2</v>
      </c>
      <c r="N161">
        <v>21.95</v>
      </c>
      <c r="O161">
        <v>18324.900000000001</v>
      </c>
      <c r="P161">
        <v>834.84738040000002</v>
      </c>
      <c r="Q161" t="s">
        <v>27</v>
      </c>
      <c r="S161">
        <v>0.96753800000000001</v>
      </c>
      <c r="U161">
        <v>0.60670000000000002</v>
      </c>
    </row>
    <row r="162" spans="1:29" x14ac:dyDescent="0.2">
      <c r="A162">
        <v>418</v>
      </c>
      <c r="B162" t="s">
        <v>35</v>
      </c>
      <c r="C162" t="s">
        <v>3</v>
      </c>
      <c r="D162">
        <v>1.6929999999998557E-2</v>
      </c>
      <c r="E162">
        <f t="shared" si="8"/>
        <v>16.929999999998557</v>
      </c>
      <c r="F162" s="12">
        <v>33270.6</v>
      </c>
      <c r="G162">
        <f t="shared" si="9"/>
        <v>1965.1860602482477</v>
      </c>
      <c r="H162" t="s">
        <v>27</v>
      </c>
      <c r="J162">
        <v>418</v>
      </c>
      <c r="K162" t="s">
        <v>35</v>
      </c>
      <c r="L162" t="s">
        <v>3</v>
      </c>
      <c r="M162">
        <v>1.6930000000000001E-2</v>
      </c>
      <c r="N162">
        <v>16.93</v>
      </c>
      <c r="O162">
        <v>33270.6</v>
      </c>
      <c r="P162">
        <v>1965.18606</v>
      </c>
      <c r="Q162" t="s">
        <v>27</v>
      </c>
    </row>
    <row r="163" spans="1:29" x14ac:dyDescent="0.2">
      <c r="A163">
        <v>421</v>
      </c>
      <c r="B163" t="s">
        <v>25</v>
      </c>
      <c r="C163" t="s">
        <v>3</v>
      </c>
      <c r="D163">
        <v>2.4060000000000414E-2</v>
      </c>
      <c r="E163">
        <f t="shared" si="8"/>
        <v>24.060000000000414</v>
      </c>
      <c r="F163" s="12">
        <v>30512.799999999999</v>
      </c>
      <c r="G163">
        <f t="shared" si="9"/>
        <v>1268.1961762260796</v>
      </c>
      <c r="H163" t="s">
        <v>33</v>
      </c>
      <c r="J163">
        <v>421</v>
      </c>
      <c r="K163" t="s">
        <v>25</v>
      </c>
      <c r="L163" t="s">
        <v>3</v>
      </c>
      <c r="M163">
        <v>2.4060000000000002E-2</v>
      </c>
      <c r="N163">
        <v>24.06</v>
      </c>
      <c r="O163">
        <v>30512.799999999999</v>
      </c>
      <c r="P163">
        <v>1268.1961759999999</v>
      </c>
      <c r="Q163" t="s">
        <v>33</v>
      </c>
    </row>
    <row r="164" spans="1:29" x14ac:dyDescent="0.2">
      <c r="A164">
        <v>423</v>
      </c>
      <c r="B164" t="s">
        <v>29</v>
      </c>
      <c r="C164" t="s">
        <v>2</v>
      </c>
      <c r="D164">
        <v>2.0790000000001641E-2</v>
      </c>
      <c r="E164">
        <f t="shared" ref="E164:E174" si="10">D164*1000</f>
        <v>20.790000000001641</v>
      </c>
      <c r="F164" s="12">
        <v>21235.9</v>
      </c>
      <c r="G164">
        <f t="shared" ref="G164:G174" si="11">F164/E164</f>
        <v>1021.4478114477309</v>
      </c>
      <c r="H164" t="s">
        <v>27</v>
      </c>
      <c r="J164">
        <v>423</v>
      </c>
      <c r="K164" t="s">
        <v>29</v>
      </c>
      <c r="L164" t="s">
        <v>2</v>
      </c>
      <c r="M164">
        <v>2.0789999999999999E-2</v>
      </c>
      <c r="N164">
        <v>20.79</v>
      </c>
      <c r="O164">
        <v>21235.9</v>
      </c>
      <c r="P164">
        <v>1021.447811</v>
      </c>
      <c r="Q164" t="s">
        <v>27</v>
      </c>
      <c r="S164" t="s">
        <v>105</v>
      </c>
    </row>
    <row r="165" spans="1:29" x14ac:dyDescent="0.2">
      <c r="A165">
        <v>425</v>
      </c>
      <c r="B165" t="s">
        <v>35</v>
      </c>
      <c r="C165" t="s">
        <v>2</v>
      </c>
      <c r="D165">
        <v>1.9940000000000069E-2</v>
      </c>
      <c r="E165">
        <f t="shared" si="10"/>
        <v>19.940000000000069</v>
      </c>
      <c r="F165" s="12">
        <v>37134.300000000003</v>
      </c>
      <c r="G165">
        <f t="shared" si="11"/>
        <v>1862.3019057171452</v>
      </c>
      <c r="H165" t="s">
        <v>27</v>
      </c>
      <c r="J165">
        <v>425</v>
      </c>
      <c r="K165" t="s">
        <v>35</v>
      </c>
      <c r="L165" t="s">
        <v>2</v>
      </c>
      <c r="M165">
        <v>1.9939999999999999E-2</v>
      </c>
      <c r="N165">
        <v>19.940000000000001</v>
      </c>
      <c r="O165">
        <v>37134.300000000003</v>
      </c>
      <c r="P165">
        <v>1862.3019059999999</v>
      </c>
      <c r="Q165" t="s">
        <v>27</v>
      </c>
      <c r="S165" t="s">
        <v>60</v>
      </c>
      <c r="T165" t="s">
        <v>91</v>
      </c>
    </row>
    <row r="166" spans="1:29" x14ac:dyDescent="0.2">
      <c r="A166">
        <v>429</v>
      </c>
      <c r="B166" t="s">
        <v>29</v>
      </c>
      <c r="C166" t="s">
        <v>3</v>
      </c>
      <c r="D166">
        <v>1.5439999999999898E-2</v>
      </c>
      <c r="E166">
        <f t="shared" si="10"/>
        <v>15.439999999999898</v>
      </c>
      <c r="F166" s="12">
        <v>15400.9</v>
      </c>
      <c r="G166">
        <f t="shared" si="11"/>
        <v>997.46761658031744</v>
      </c>
      <c r="H166" t="s">
        <v>33</v>
      </c>
      <c r="J166">
        <v>429</v>
      </c>
      <c r="K166" t="s">
        <v>29</v>
      </c>
      <c r="L166" t="s">
        <v>3</v>
      </c>
      <c r="M166">
        <v>1.5440000000000001E-2</v>
      </c>
      <c r="N166">
        <v>15.44</v>
      </c>
      <c r="O166">
        <v>15400.9</v>
      </c>
      <c r="P166">
        <v>997.46761660000004</v>
      </c>
      <c r="Q166" t="s">
        <v>33</v>
      </c>
      <c r="S166" t="s">
        <v>129</v>
      </c>
      <c r="T166" t="s">
        <v>91</v>
      </c>
    </row>
    <row r="167" spans="1:29" x14ac:dyDescent="0.2">
      <c r="A167">
        <v>436</v>
      </c>
      <c r="B167" t="s">
        <v>35</v>
      </c>
      <c r="C167" t="s">
        <v>3</v>
      </c>
      <c r="D167">
        <v>2.1390000000000242E-2</v>
      </c>
      <c r="E167">
        <f t="shared" si="10"/>
        <v>21.390000000000242</v>
      </c>
      <c r="F167" s="12">
        <v>37656.6</v>
      </c>
      <c r="G167">
        <f t="shared" si="11"/>
        <v>1760.4768583450011</v>
      </c>
      <c r="H167" t="s">
        <v>27</v>
      </c>
      <c r="J167">
        <v>436</v>
      </c>
      <c r="K167" t="s">
        <v>35</v>
      </c>
      <c r="L167" t="s">
        <v>3</v>
      </c>
      <c r="M167">
        <v>2.1389999999999999E-2</v>
      </c>
      <c r="N167">
        <v>21.39</v>
      </c>
      <c r="O167">
        <v>37656.6</v>
      </c>
      <c r="P167">
        <v>1760.476858</v>
      </c>
      <c r="Q167" t="s">
        <v>27</v>
      </c>
    </row>
    <row r="168" spans="1:29" x14ac:dyDescent="0.2">
      <c r="A168">
        <v>441</v>
      </c>
      <c r="B168" t="s">
        <v>29</v>
      </c>
      <c r="C168" t="s">
        <v>2</v>
      </c>
      <c r="D168">
        <v>1.9739999999998759E-2</v>
      </c>
      <c r="E168">
        <f t="shared" si="10"/>
        <v>19.739999999998759</v>
      </c>
      <c r="F168" s="12">
        <v>36819.800000000003</v>
      </c>
      <c r="G168">
        <f t="shared" si="11"/>
        <v>1865.2380952382127</v>
      </c>
      <c r="H168" t="s">
        <v>33</v>
      </c>
      <c r="J168">
        <v>441</v>
      </c>
      <c r="K168" t="s">
        <v>29</v>
      </c>
      <c r="L168" t="s">
        <v>2</v>
      </c>
      <c r="M168">
        <v>1.9740000000000001E-2</v>
      </c>
      <c r="N168">
        <v>19.739999999999998</v>
      </c>
      <c r="O168">
        <v>36819.800000000003</v>
      </c>
      <c r="P168">
        <v>1865.2380949999999</v>
      </c>
      <c r="Q168" t="s">
        <v>33</v>
      </c>
      <c r="S168" t="s">
        <v>90</v>
      </c>
      <c r="X168" t="s">
        <v>193</v>
      </c>
    </row>
    <row r="169" spans="1:29" x14ac:dyDescent="0.2">
      <c r="A169">
        <v>442</v>
      </c>
      <c r="B169" t="s">
        <v>35</v>
      </c>
      <c r="C169" t="s">
        <v>2</v>
      </c>
      <c r="D169">
        <v>2.1889999999999077E-2</v>
      </c>
      <c r="E169">
        <f t="shared" si="10"/>
        <v>21.889999999999077</v>
      </c>
      <c r="F169" s="12">
        <v>39195.1</v>
      </c>
      <c r="G169">
        <f t="shared" si="11"/>
        <v>1790.5481955231453</v>
      </c>
      <c r="H169" t="s">
        <v>27</v>
      </c>
      <c r="J169">
        <v>442</v>
      </c>
      <c r="K169" t="s">
        <v>35</v>
      </c>
      <c r="L169" t="s">
        <v>2</v>
      </c>
      <c r="M169">
        <v>2.189E-2</v>
      </c>
      <c r="N169">
        <v>21.89</v>
      </c>
      <c r="O169">
        <v>39195.1</v>
      </c>
      <c r="P169">
        <v>1790.548196</v>
      </c>
      <c r="Q169" t="s">
        <v>27</v>
      </c>
      <c r="S169" t="s">
        <v>69</v>
      </c>
      <c r="T169">
        <v>1454.5159000000001</v>
      </c>
    </row>
    <row r="170" spans="1:29" x14ac:dyDescent="0.2">
      <c r="A170">
        <v>450</v>
      </c>
      <c r="B170" t="s">
        <v>29</v>
      </c>
      <c r="C170" t="s">
        <v>2</v>
      </c>
      <c r="D170">
        <v>1.8000000000000682E-2</v>
      </c>
      <c r="E170">
        <f t="shared" si="10"/>
        <v>18.000000000000682</v>
      </c>
      <c r="F170" s="12">
        <v>34557.699999999997</v>
      </c>
      <c r="G170">
        <f t="shared" si="11"/>
        <v>1919.8722222221493</v>
      </c>
      <c r="H170" t="s">
        <v>33</v>
      </c>
      <c r="J170">
        <v>450</v>
      </c>
      <c r="K170" t="s">
        <v>29</v>
      </c>
      <c r="L170" t="s">
        <v>2</v>
      </c>
      <c r="M170">
        <v>1.7999999999999999E-2</v>
      </c>
      <c r="N170">
        <v>18</v>
      </c>
      <c r="O170">
        <v>34557.699999999997</v>
      </c>
      <c r="P170">
        <v>1919.872222</v>
      </c>
      <c r="Q170" t="s">
        <v>33</v>
      </c>
      <c r="S170" t="s">
        <v>92</v>
      </c>
      <c r="T170">
        <v>346.12290000000002</v>
      </c>
      <c r="X170" t="s">
        <v>158</v>
      </c>
      <c r="Y170" t="s">
        <v>82</v>
      </c>
      <c r="Z170" t="s">
        <v>194</v>
      </c>
      <c r="AA170" t="s">
        <v>195</v>
      </c>
      <c r="AB170" t="s">
        <v>196</v>
      </c>
      <c r="AC170" t="s">
        <v>197</v>
      </c>
    </row>
    <row r="171" spans="1:29" x14ac:dyDescent="0.2">
      <c r="A171">
        <v>456</v>
      </c>
      <c r="B171" t="s">
        <v>25</v>
      </c>
      <c r="C171" t="s">
        <v>3</v>
      </c>
      <c r="D171">
        <v>1.8420000000000769E-2</v>
      </c>
      <c r="E171">
        <f t="shared" si="10"/>
        <v>18.420000000000769</v>
      </c>
      <c r="F171" s="12">
        <v>17649.7</v>
      </c>
      <c r="G171">
        <f t="shared" si="11"/>
        <v>958.18132464708276</v>
      </c>
      <c r="H171" t="s">
        <v>33</v>
      </c>
      <c r="J171">
        <v>456</v>
      </c>
      <c r="K171" t="s">
        <v>25</v>
      </c>
      <c r="L171" t="s">
        <v>3</v>
      </c>
      <c r="M171">
        <v>1.8419999999999999E-2</v>
      </c>
      <c r="N171">
        <v>18.420000000000002</v>
      </c>
      <c r="O171">
        <v>17649.7</v>
      </c>
      <c r="P171">
        <v>958.18132460000004</v>
      </c>
      <c r="Q171" t="s">
        <v>33</v>
      </c>
      <c r="S171" t="s">
        <v>93</v>
      </c>
      <c r="T171">
        <v>65.411079999999998</v>
      </c>
      <c r="X171" t="s">
        <v>29</v>
      </c>
      <c r="Y171">
        <v>69</v>
      </c>
      <c r="Z171">
        <v>5981</v>
      </c>
      <c r="AA171">
        <v>5796</v>
      </c>
      <c r="AB171">
        <v>86.681200000000004</v>
      </c>
      <c r="AC171">
        <v>0.6</v>
      </c>
    </row>
    <row r="172" spans="1:29" x14ac:dyDescent="0.2">
      <c r="A172">
        <v>458</v>
      </c>
      <c r="B172" t="s">
        <v>25</v>
      </c>
      <c r="C172" t="s">
        <v>2</v>
      </c>
      <c r="D172">
        <v>2.2000000000000242E-2</v>
      </c>
      <c r="E172">
        <f t="shared" si="10"/>
        <v>22.000000000000242</v>
      </c>
      <c r="F172" s="12">
        <v>20357.900000000001</v>
      </c>
      <c r="G172">
        <f t="shared" si="11"/>
        <v>925.35909090908081</v>
      </c>
      <c r="H172" t="s">
        <v>33</v>
      </c>
      <c r="J172">
        <v>458</v>
      </c>
      <c r="K172" t="s">
        <v>25</v>
      </c>
      <c r="L172" t="s">
        <v>2</v>
      </c>
      <c r="M172">
        <v>2.1999999999999999E-2</v>
      </c>
      <c r="N172">
        <v>22</v>
      </c>
      <c r="O172">
        <v>20357.900000000001</v>
      </c>
      <c r="P172">
        <v>925.35909089999996</v>
      </c>
      <c r="Q172" t="s">
        <v>33</v>
      </c>
      <c r="S172" t="s">
        <v>94</v>
      </c>
      <c r="T172">
        <v>1588.7283</v>
      </c>
      <c r="X172" t="s">
        <v>25</v>
      </c>
      <c r="Y172">
        <v>46</v>
      </c>
      <c r="Z172">
        <v>3228</v>
      </c>
      <c r="AA172">
        <v>3864</v>
      </c>
      <c r="AB172">
        <v>70.173900000000003</v>
      </c>
      <c r="AC172">
        <v>-2.2770000000000001</v>
      </c>
    </row>
    <row r="173" spans="1:29" x14ac:dyDescent="0.2">
      <c r="A173">
        <v>459</v>
      </c>
      <c r="B173" t="s">
        <v>25</v>
      </c>
      <c r="C173" t="s">
        <v>2</v>
      </c>
      <c r="D173">
        <v>2.3930000000000007E-2</v>
      </c>
      <c r="E173">
        <f t="shared" si="10"/>
        <v>23.930000000000007</v>
      </c>
      <c r="F173" s="12">
        <v>43612</v>
      </c>
      <c r="G173">
        <f t="shared" si="11"/>
        <v>1822.4822398662761</v>
      </c>
      <c r="H173" t="s">
        <v>33</v>
      </c>
      <c r="J173">
        <v>459</v>
      </c>
      <c r="K173" t="s">
        <v>25</v>
      </c>
      <c r="L173" t="s">
        <v>2</v>
      </c>
      <c r="M173">
        <v>2.393E-2</v>
      </c>
      <c r="N173">
        <v>23.93</v>
      </c>
      <c r="O173">
        <v>43612</v>
      </c>
      <c r="P173">
        <v>1822.48224</v>
      </c>
      <c r="Q173" t="s">
        <v>33</v>
      </c>
      <c r="S173" t="s">
        <v>95</v>
      </c>
      <c r="T173">
        <v>1320.3034</v>
      </c>
      <c r="X173" t="s">
        <v>35</v>
      </c>
      <c r="Y173">
        <v>52</v>
      </c>
      <c r="Z173">
        <v>4819</v>
      </c>
      <c r="AA173">
        <v>4368</v>
      </c>
      <c r="AB173">
        <v>92.673100000000005</v>
      </c>
      <c r="AC173">
        <v>1.5569999999999999</v>
      </c>
    </row>
    <row r="174" spans="1:29" x14ac:dyDescent="0.2">
      <c r="A174">
        <v>466</v>
      </c>
      <c r="B174" t="s">
        <v>29</v>
      </c>
      <c r="C174" t="s">
        <v>2</v>
      </c>
      <c r="D174">
        <v>1.8710000000000448E-2</v>
      </c>
      <c r="E174">
        <f t="shared" si="10"/>
        <v>18.710000000000448</v>
      </c>
      <c r="F174" s="12">
        <v>20772.5</v>
      </c>
      <c r="G174">
        <f t="shared" si="11"/>
        <v>1110.2351683591396</v>
      </c>
      <c r="H174" t="s">
        <v>33</v>
      </c>
      <c r="J174">
        <v>466</v>
      </c>
      <c r="K174" t="s">
        <v>29</v>
      </c>
      <c r="L174" t="s">
        <v>2</v>
      </c>
      <c r="M174">
        <v>1.8710000000000001E-2</v>
      </c>
      <c r="N174">
        <v>18.71</v>
      </c>
      <c r="O174">
        <v>20772.5</v>
      </c>
      <c r="P174">
        <v>1110.2351679999999</v>
      </c>
      <c r="Q174" t="s">
        <v>33</v>
      </c>
      <c r="S174" t="s">
        <v>96</v>
      </c>
      <c r="T174">
        <v>28</v>
      </c>
    </row>
    <row r="176" spans="1:29" x14ac:dyDescent="0.2">
      <c r="S176" t="s">
        <v>97</v>
      </c>
    </row>
    <row r="177" spans="1:26" x14ac:dyDescent="0.2">
      <c r="S177" t="s">
        <v>98</v>
      </c>
    </row>
    <row r="178" spans="1:26" x14ac:dyDescent="0.2">
      <c r="S178" t="s">
        <v>99</v>
      </c>
      <c r="X178" t="s">
        <v>198</v>
      </c>
    </row>
    <row r="179" spans="1:26" x14ac:dyDescent="0.2">
      <c r="S179" t="s">
        <v>35</v>
      </c>
      <c r="U179" t="s">
        <v>100</v>
      </c>
    </row>
    <row r="180" spans="1:26" x14ac:dyDescent="0.2">
      <c r="S180">
        <v>0.91253200000000001</v>
      </c>
      <c r="U180">
        <v>2.2800000000000001E-2</v>
      </c>
      <c r="X180" t="s">
        <v>199</v>
      </c>
      <c r="Y180" t="s">
        <v>114</v>
      </c>
      <c r="Z180" t="s">
        <v>200</v>
      </c>
    </row>
    <row r="181" spans="1:26" x14ac:dyDescent="0.2">
      <c r="X181">
        <v>5.6463000000000001</v>
      </c>
      <c r="Y181">
        <v>2</v>
      </c>
      <c r="Z181" s="23">
        <v>5.9400000000000001E-2</v>
      </c>
    </row>
    <row r="184" spans="1:26" x14ac:dyDescent="0.2">
      <c r="A184" s="9"/>
      <c r="P184" s="9"/>
      <c r="Q184" s="9"/>
      <c r="R184" s="9"/>
    </row>
    <row r="185" spans="1:26" x14ac:dyDescent="0.2">
      <c r="S185" t="s">
        <v>91</v>
      </c>
      <c r="T185" t="s">
        <v>91</v>
      </c>
    </row>
    <row r="187" spans="1:26" x14ac:dyDescent="0.2">
      <c r="X187" t="s">
        <v>164</v>
      </c>
    </row>
    <row r="190" spans="1:26" x14ac:dyDescent="0.2">
      <c r="X190" t="s">
        <v>165</v>
      </c>
    </row>
    <row r="193" spans="20:27" x14ac:dyDescent="0.2">
      <c r="X193" t="s">
        <v>166</v>
      </c>
    </row>
    <row r="195" spans="20:27" x14ac:dyDescent="0.2">
      <c r="X195" t="s">
        <v>167</v>
      </c>
      <c r="Y195" t="s">
        <v>168</v>
      </c>
    </row>
    <row r="196" spans="20:27" x14ac:dyDescent="0.2">
      <c r="X196">
        <v>2.3652299999999999</v>
      </c>
      <c r="Y196">
        <v>0.05</v>
      </c>
    </row>
    <row r="201" spans="20:27" x14ac:dyDescent="0.2">
      <c r="X201" t="s">
        <v>169</v>
      </c>
    </row>
    <row r="202" spans="20:27" x14ac:dyDescent="0.2">
      <c r="X202" t="s">
        <v>170</v>
      </c>
    </row>
    <row r="203" spans="20:27" x14ac:dyDescent="0.2">
      <c r="Y203" t="s">
        <v>35</v>
      </c>
      <c r="Z203" t="s">
        <v>29</v>
      </c>
      <c r="AA203" t="s">
        <v>25</v>
      </c>
    </row>
    <row r="204" spans="20:27" x14ac:dyDescent="0.2">
      <c r="T204" t="s">
        <v>91</v>
      </c>
      <c r="X204" t="s">
        <v>35</v>
      </c>
      <c r="Y204">
        <v>-182.71</v>
      </c>
      <c r="Z204">
        <v>-149.35</v>
      </c>
      <c r="AA204">
        <v>7.89</v>
      </c>
    </row>
    <row r="205" spans="20:27" x14ac:dyDescent="0.2">
      <c r="T205" t="s">
        <v>91</v>
      </c>
      <c r="X205" t="s">
        <v>29</v>
      </c>
      <c r="Y205">
        <v>-149.35</v>
      </c>
      <c r="Z205">
        <v>-158.62</v>
      </c>
      <c r="AA205">
        <v>-2.61</v>
      </c>
    </row>
    <row r="206" spans="20:27" x14ac:dyDescent="0.2">
      <c r="X206" t="s">
        <v>25</v>
      </c>
      <c r="Y206">
        <v>7.89</v>
      </c>
      <c r="Z206">
        <v>-2.61</v>
      </c>
      <c r="AA206">
        <v>-194.27</v>
      </c>
    </row>
    <row r="209" spans="24:31" x14ac:dyDescent="0.2">
      <c r="X209" t="s">
        <v>171</v>
      </c>
    </row>
    <row r="213" spans="24:31" x14ac:dyDescent="0.2">
      <c r="X213" t="s">
        <v>172</v>
      </c>
    </row>
    <row r="216" spans="24:31" x14ac:dyDescent="0.2">
      <c r="X216" t="s">
        <v>158</v>
      </c>
      <c r="Y216" t="s">
        <v>91</v>
      </c>
      <c r="Z216" t="s">
        <v>91</v>
      </c>
      <c r="AA216" t="s">
        <v>91</v>
      </c>
      <c r="AB216" t="s">
        <v>91</v>
      </c>
      <c r="AC216" t="s">
        <v>91</v>
      </c>
      <c r="AD216" t="s">
        <v>91</v>
      </c>
      <c r="AE216" t="s">
        <v>69</v>
      </c>
    </row>
    <row r="217" spans="24:31" x14ac:dyDescent="0.2">
      <c r="X217" t="s">
        <v>35</v>
      </c>
      <c r="Y217" t="s">
        <v>173</v>
      </c>
      <c r="Z217" t="s">
        <v>91</v>
      </c>
      <c r="AE217">
        <v>1465.5250000000001</v>
      </c>
    </row>
    <row r="218" spans="24:31" x14ac:dyDescent="0.2">
      <c r="X218" t="s">
        <v>29</v>
      </c>
      <c r="Y218" t="s">
        <v>173</v>
      </c>
      <c r="Z218" t="s">
        <v>226</v>
      </c>
      <c r="AE218">
        <v>1443.7843</v>
      </c>
    </row>
    <row r="219" spans="24:31" x14ac:dyDescent="0.2">
      <c r="X219" t="s">
        <v>25</v>
      </c>
      <c r="Y219" t="s">
        <v>91</v>
      </c>
      <c r="Z219" t="s">
        <v>226</v>
      </c>
      <c r="AE219">
        <v>1269.0539000000001</v>
      </c>
    </row>
    <row r="222" spans="24:31" x14ac:dyDescent="0.2">
      <c r="X222" t="s">
        <v>174</v>
      </c>
    </row>
    <row r="226" spans="24:31" x14ac:dyDescent="0.2">
      <c r="X226" t="s">
        <v>175</v>
      </c>
    </row>
    <row r="228" spans="24:31" x14ac:dyDescent="0.2">
      <c r="X228" t="s">
        <v>158</v>
      </c>
      <c r="Y228" t="s">
        <v>176</v>
      </c>
      <c r="Z228" t="s">
        <v>111</v>
      </c>
      <c r="AA228" t="s">
        <v>113</v>
      </c>
      <c r="AB228" t="s">
        <v>177</v>
      </c>
      <c r="AC228" t="s">
        <v>178</v>
      </c>
      <c r="AD228" t="s">
        <v>179</v>
      </c>
      <c r="AE228" t="s">
        <v>180</v>
      </c>
    </row>
    <row r="229" spans="24:31" x14ac:dyDescent="0.2">
      <c r="X229" t="s">
        <v>35</v>
      </c>
      <c r="Y229" t="s">
        <v>25</v>
      </c>
      <c r="Z229">
        <v>196.471</v>
      </c>
      <c r="AA229">
        <v>79.72963</v>
      </c>
      <c r="AB229">
        <v>7.8920000000000003</v>
      </c>
      <c r="AC229">
        <v>385.05</v>
      </c>
      <c r="AD229">
        <v>3.9E-2</v>
      </c>
      <c r="AE229" t="s">
        <v>230</v>
      </c>
    </row>
    <row r="230" spans="24:31" x14ac:dyDescent="0.2">
      <c r="X230" t="s">
        <v>29</v>
      </c>
      <c r="Y230" t="s">
        <v>25</v>
      </c>
      <c r="Z230">
        <v>174.7304</v>
      </c>
      <c r="AA230">
        <v>74.977819999999994</v>
      </c>
      <c r="AB230">
        <v>-2.609</v>
      </c>
      <c r="AC230">
        <v>352.0702</v>
      </c>
      <c r="AD230">
        <v>5.4399999999999997E-2</v>
      </c>
      <c r="AE230" t="s">
        <v>231</v>
      </c>
    </row>
    <row r="231" spans="24:31" x14ac:dyDescent="0.2">
      <c r="X231" t="s">
        <v>35</v>
      </c>
      <c r="Y231" t="s">
        <v>29</v>
      </c>
      <c r="Z231">
        <v>21.740600000000001</v>
      </c>
      <c r="AA231">
        <v>72.335880000000003</v>
      </c>
      <c r="AB231">
        <v>-149.35</v>
      </c>
      <c r="AC231">
        <v>192.83170000000001</v>
      </c>
      <c r="AD231">
        <v>0.95140000000000002</v>
      </c>
      <c r="AE231" t="s">
        <v>232</v>
      </c>
    </row>
  </sheetData>
  <sortState xmlns:xlrd2="http://schemas.microsoft.com/office/spreadsheetml/2017/richdata2" ref="A4:P174">
    <sortCondition ref="A4:A17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74"/>
  <sheetViews>
    <sheetView topLeftCell="BI3" workbookViewId="0">
      <selection activeCell="BS36" sqref="BS36"/>
    </sheetView>
  </sheetViews>
  <sheetFormatPr baseColWidth="10" defaultColWidth="8.83203125" defaultRowHeight="15" x14ac:dyDescent="0.2"/>
  <cols>
    <col min="5" max="5" width="9.1640625"/>
    <col min="58" max="58" width="10.83203125" customWidth="1"/>
  </cols>
  <sheetData>
    <row r="1" spans="1:71" ht="238.5" customHeight="1" x14ac:dyDescent="0.2"/>
    <row r="2" spans="1:71" x14ac:dyDescent="0.2">
      <c r="A2" t="s">
        <v>86</v>
      </c>
      <c r="G2" t="s">
        <v>136</v>
      </c>
    </row>
    <row r="3" spans="1:71" ht="48" x14ac:dyDescent="0.2">
      <c r="A3" s="16" t="s">
        <v>6</v>
      </c>
      <c r="B3" s="16" t="s">
        <v>7</v>
      </c>
      <c r="C3" s="16" t="s">
        <v>21</v>
      </c>
      <c r="D3" s="16" t="s">
        <v>55</v>
      </c>
      <c r="E3" s="7" t="s">
        <v>9</v>
      </c>
      <c r="F3" s="7"/>
      <c r="G3" s="16" t="s">
        <v>6</v>
      </c>
      <c r="H3" s="16" t="s">
        <v>7</v>
      </c>
      <c r="I3" s="16" t="s">
        <v>21</v>
      </c>
      <c r="J3" s="16" t="s">
        <v>55</v>
      </c>
      <c r="K3" s="7" t="s">
        <v>9</v>
      </c>
      <c r="L3" s="7"/>
      <c r="O3" s="7" t="s">
        <v>4</v>
      </c>
      <c r="P3" s="7" t="s">
        <v>5</v>
      </c>
      <c r="Q3" s="7" t="s">
        <v>1</v>
      </c>
    </row>
    <row r="4" spans="1:71" x14ac:dyDescent="0.2">
      <c r="A4">
        <v>6</v>
      </c>
      <c r="B4" t="s">
        <v>25</v>
      </c>
      <c r="C4" t="s">
        <v>2</v>
      </c>
      <c r="D4">
        <v>63</v>
      </c>
      <c r="E4" t="s">
        <v>27</v>
      </c>
      <c r="G4">
        <v>6</v>
      </c>
      <c r="H4" t="s">
        <v>25</v>
      </c>
      <c r="I4" t="s">
        <v>2</v>
      </c>
      <c r="J4">
        <v>63</v>
      </c>
      <c r="K4" t="s">
        <v>27</v>
      </c>
      <c r="N4" t="s">
        <v>3</v>
      </c>
      <c r="O4">
        <f>AVERAGE(D74:D99)</f>
        <v>71.807692307692307</v>
      </c>
      <c r="P4">
        <f>AVERAGE(D123:D150)</f>
        <v>69.357142857142861</v>
      </c>
      <c r="Q4">
        <f>AVERAGE(D4:D42)</f>
        <v>68.333333333333329</v>
      </c>
    </row>
    <row r="5" spans="1:71" x14ac:dyDescent="0.2">
      <c r="A5">
        <v>10</v>
      </c>
      <c r="B5" t="s">
        <v>29</v>
      </c>
      <c r="C5" t="s">
        <v>2</v>
      </c>
      <c r="D5">
        <v>71</v>
      </c>
      <c r="E5" t="s">
        <v>27</v>
      </c>
      <c r="G5">
        <v>10</v>
      </c>
      <c r="H5" t="s">
        <v>29</v>
      </c>
      <c r="I5" t="s">
        <v>2</v>
      </c>
      <c r="J5">
        <v>71</v>
      </c>
      <c r="K5" t="s">
        <v>27</v>
      </c>
      <c r="N5" t="s">
        <v>2</v>
      </c>
      <c r="O5">
        <f>AVERAGE(D100:D122)</f>
        <v>66.304347826086953</v>
      </c>
      <c r="P5">
        <f>AVERAGE(D151:D174)</f>
        <v>68.916666666666671</v>
      </c>
      <c r="Q5">
        <f>AVERAGE(D43:D73)</f>
        <v>70.161290322580641</v>
      </c>
      <c r="BF5" t="s">
        <v>1</v>
      </c>
      <c r="BG5" t="s">
        <v>263</v>
      </c>
      <c r="BH5" t="s">
        <v>264</v>
      </c>
      <c r="BS5" t="s">
        <v>4</v>
      </c>
    </row>
    <row r="6" spans="1:71" x14ac:dyDescent="0.2">
      <c r="A6">
        <v>15</v>
      </c>
      <c r="B6" t="s">
        <v>29</v>
      </c>
      <c r="C6" t="s">
        <v>2</v>
      </c>
      <c r="D6">
        <v>78</v>
      </c>
      <c r="E6" t="s">
        <v>33</v>
      </c>
      <c r="G6">
        <v>15</v>
      </c>
      <c r="H6" t="s">
        <v>29</v>
      </c>
      <c r="I6" t="s">
        <v>2</v>
      </c>
      <c r="J6">
        <v>78</v>
      </c>
      <c r="K6" t="s">
        <v>33</v>
      </c>
      <c r="AY6" t="s">
        <v>89</v>
      </c>
    </row>
    <row r="7" spans="1:71" x14ac:dyDescent="0.2">
      <c r="A7">
        <v>17</v>
      </c>
      <c r="B7" t="s">
        <v>35</v>
      </c>
      <c r="C7" t="s">
        <v>2</v>
      </c>
      <c r="D7">
        <v>81</v>
      </c>
      <c r="E7" t="s">
        <v>27</v>
      </c>
      <c r="G7">
        <v>17</v>
      </c>
      <c r="H7" t="s">
        <v>35</v>
      </c>
      <c r="I7" t="s">
        <v>2</v>
      </c>
      <c r="J7">
        <v>81</v>
      </c>
      <c r="K7" t="s">
        <v>27</v>
      </c>
      <c r="N7" t="s">
        <v>67</v>
      </c>
      <c r="O7">
        <f>STDEV(D74:D99)/SQRT(27)</f>
        <v>1.2707760600797433</v>
      </c>
      <c r="P7">
        <f>STDEV(D123:D150)/SQRT(28)</f>
        <v>1.3974791038884982</v>
      </c>
      <c r="Q7">
        <f>STDEV(D4:D42)/SQRT(39)</f>
        <v>1.3474288672900885</v>
      </c>
    </row>
    <row r="8" spans="1:71" x14ac:dyDescent="0.2">
      <c r="A8">
        <v>20</v>
      </c>
      <c r="B8" t="s">
        <v>29</v>
      </c>
      <c r="C8" t="s">
        <v>2</v>
      </c>
      <c r="D8">
        <v>62</v>
      </c>
      <c r="E8" t="s">
        <v>33</v>
      </c>
      <c r="G8">
        <v>20</v>
      </c>
      <c r="H8" t="s">
        <v>29</v>
      </c>
      <c r="I8" t="s">
        <v>2</v>
      </c>
      <c r="J8">
        <v>62</v>
      </c>
      <c r="K8" t="s">
        <v>33</v>
      </c>
      <c r="O8">
        <f>STDEV(D100:D122)/SQRT(23)</f>
        <v>1.8366436808240876</v>
      </c>
      <c r="P8">
        <f>STDEV(D151:D174)/SQRT(24)</f>
        <v>1.5649196241186583</v>
      </c>
      <c r="Q8">
        <f>STDEV(D43:D73)/SQRT(31)</f>
        <v>0.96061894719319152</v>
      </c>
      <c r="AD8" t="s">
        <v>141</v>
      </c>
    </row>
    <row r="9" spans="1:71" x14ac:dyDescent="0.2">
      <c r="A9">
        <v>23</v>
      </c>
      <c r="B9" t="s">
        <v>29</v>
      </c>
      <c r="C9" t="s">
        <v>2</v>
      </c>
      <c r="D9">
        <v>65</v>
      </c>
      <c r="E9" t="s">
        <v>27</v>
      </c>
      <c r="G9">
        <v>23</v>
      </c>
      <c r="H9" t="s">
        <v>29</v>
      </c>
      <c r="I9" t="s">
        <v>2</v>
      </c>
      <c r="J9">
        <v>65</v>
      </c>
      <c r="K9" t="s">
        <v>27</v>
      </c>
      <c r="AY9" t="s">
        <v>55</v>
      </c>
    </row>
    <row r="10" spans="1:71" x14ac:dyDescent="0.2">
      <c r="A10">
        <v>25</v>
      </c>
      <c r="B10" t="s">
        <v>29</v>
      </c>
      <c r="C10" t="s">
        <v>2</v>
      </c>
      <c r="D10">
        <v>62</v>
      </c>
      <c r="E10" t="s">
        <v>33</v>
      </c>
      <c r="G10">
        <v>25</v>
      </c>
      <c r="H10" t="s">
        <v>29</v>
      </c>
      <c r="I10" t="s">
        <v>2</v>
      </c>
      <c r="J10">
        <v>62</v>
      </c>
      <c r="K10" t="s">
        <v>33</v>
      </c>
      <c r="AD10" t="s">
        <v>107</v>
      </c>
    </row>
    <row r="11" spans="1:71" x14ac:dyDescent="0.2">
      <c r="A11">
        <v>31</v>
      </c>
      <c r="B11" t="s">
        <v>29</v>
      </c>
      <c r="C11" t="s">
        <v>2</v>
      </c>
      <c r="D11">
        <v>64</v>
      </c>
      <c r="E11" t="s">
        <v>33</v>
      </c>
      <c r="G11">
        <v>31</v>
      </c>
      <c r="H11" t="s">
        <v>29</v>
      </c>
      <c r="I11" t="s">
        <v>2</v>
      </c>
      <c r="J11">
        <v>64</v>
      </c>
      <c r="K11" t="s">
        <v>33</v>
      </c>
      <c r="AD11">
        <v>6</v>
      </c>
    </row>
    <row r="12" spans="1:71" x14ac:dyDescent="0.2">
      <c r="A12">
        <v>42</v>
      </c>
      <c r="B12" t="s">
        <v>29</v>
      </c>
      <c r="C12" t="s">
        <v>3</v>
      </c>
      <c r="D12" s="23">
        <v>44</v>
      </c>
      <c r="E12" t="s">
        <v>33</v>
      </c>
      <c r="G12">
        <v>42</v>
      </c>
      <c r="H12" t="s">
        <v>29</v>
      </c>
      <c r="I12" t="s">
        <v>3</v>
      </c>
      <c r="K12" t="s">
        <v>33</v>
      </c>
    </row>
    <row r="13" spans="1:71" x14ac:dyDescent="0.2">
      <c r="A13">
        <v>43</v>
      </c>
      <c r="B13" t="s">
        <v>25</v>
      </c>
      <c r="C13" t="s">
        <v>2</v>
      </c>
      <c r="D13">
        <v>63</v>
      </c>
      <c r="E13" t="s">
        <v>33</v>
      </c>
      <c r="G13">
        <v>43</v>
      </c>
      <c r="H13" t="s">
        <v>25</v>
      </c>
      <c r="I13" t="s">
        <v>2</v>
      </c>
      <c r="J13">
        <v>63</v>
      </c>
      <c r="K13" t="s">
        <v>33</v>
      </c>
    </row>
    <row r="14" spans="1:71" x14ac:dyDescent="0.2">
      <c r="A14">
        <v>47</v>
      </c>
      <c r="B14" t="s">
        <v>29</v>
      </c>
      <c r="C14" t="s">
        <v>2</v>
      </c>
      <c r="D14">
        <v>69</v>
      </c>
      <c r="E14" t="s">
        <v>33</v>
      </c>
      <c r="G14">
        <v>47</v>
      </c>
      <c r="H14" t="s">
        <v>29</v>
      </c>
      <c r="I14" t="s">
        <v>2</v>
      </c>
      <c r="J14">
        <v>69</v>
      </c>
      <c r="K14" t="s">
        <v>33</v>
      </c>
      <c r="AD14" t="s">
        <v>142</v>
      </c>
    </row>
    <row r="15" spans="1:71" x14ac:dyDescent="0.2">
      <c r="A15">
        <v>48</v>
      </c>
      <c r="B15" t="s">
        <v>25</v>
      </c>
      <c r="C15" t="s">
        <v>2</v>
      </c>
      <c r="D15">
        <v>66</v>
      </c>
      <c r="E15" t="s">
        <v>33</v>
      </c>
      <c r="G15">
        <v>48</v>
      </c>
      <c r="H15" t="s">
        <v>25</v>
      </c>
      <c r="I15" t="s">
        <v>2</v>
      </c>
      <c r="J15">
        <v>66</v>
      </c>
      <c r="K15" t="s">
        <v>33</v>
      </c>
      <c r="AY15" t="s">
        <v>90</v>
      </c>
    </row>
    <row r="16" spans="1:71" x14ac:dyDescent="0.2">
      <c r="A16">
        <v>50</v>
      </c>
      <c r="B16" t="s">
        <v>35</v>
      </c>
      <c r="C16" t="s">
        <v>2</v>
      </c>
      <c r="D16">
        <v>77</v>
      </c>
      <c r="E16" t="s">
        <v>27</v>
      </c>
      <c r="G16">
        <v>50</v>
      </c>
      <c r="H16" t="s">
        <v>35</v>
      </c>
      <c r="I16" t="s">
        <v>2</v>
      </c>
      <c r="J16">
        <v>77</v>
      </c>
      <c r="K16" t="s">
        <v>27</v>
      </c>
    </row>
    <row r="17" spans="1:52" x14ac:dyDescent="0.2">
      <c r="A17">
        <v>53</v>
      </c>
      <c r="B17" t="s">
        <v>29</v>
      </c>
      <c r="C17" t="s">
        <v>2</v>
      </c>
      <c r="D17">
        <v>65</v>
      </c>
      <c r="E17" t="s">
        <v>27</v>
      </c>
      <c r="G17">
        <v>53</v>
      </c>
      <c r="H17" t="s">
        <v>29</v>
      </c>
      <c r="I17" t="s">
        <v>2</v>
      </c>
      <c r="J17">
        <v>65</v>
      </c>
      <c r="K17" t="s">
        <v>27</v>
      </c>
      <c r="AD17" t="s">
        <v>143</v>
      </c>
      <c r="AY17" t="s">
        <v>91</v>
      </c>
      <c r="AZ17" t="s">
        <v>91</v>
      </c>
    </row>
    <row r="18" spans="1:52" x14ac:dyDescent="0.2">
      <c r="A18">
        <v>54</v>
      </c>
      <c r="B18" t="s">
        <v>29</v>
      </c>
      <c r="C18" t="s">
        <v>3</v>
      </c>
      <c r="D18">
        <v>76</v>
      </c>
      <c r="E18" t="s">
        <v>27</v>
      </c>
      <c r="G18">
        <v>54</v>
      </c>
      <c r="H18" t="s">
        <v>29</v>
      </c>
      <c r="I18" t="s">
        <v>3</v>
      </c>
      <c r="J18">
        <v>76</v>
      </c>
      <c r="K18" t="s">
        <v>27</v>
      </c>
      <c r="AY18" t="s">
        <v>69</v>
      </c>
      <c r="AZ18">
        <v>69.806451999999993</v>
      </c>
    </row>
    <row r="19" spans="1:52" x14ac:dyDescent="0.2">
      <c r="A19">
        <v>55</v>
      </c>
      <c r="B19" t="s">
        <v>29</v>
      </c>
      <c r="C19" t="s">
        <v>2</v>
      </c>
      <c r="D19">
        <v>68</v>
      </c>
      <c r="E19" t="s">
        <v>33</v>
      </c>
      <c r="G19">
        <v>55</v>
      </c>
      <c r="H19" t="s">
        <v>29</v>
      </c>
      <c r="I19" t="s">
        <v>2</v>
      </c>
      <c r="J19">
        <v>68</v>
      </c>
      <c r="K19" t="s">
        <v>33</v>
      </c>
      <c r="AD19" t="s">
        <v>91</v>
      </c>
      <c r="AE19" t="s">
        <v>91</v>
      </c>
      <c r="AY19" t="s">
        <v>92</v>
      </c>
      <c r="AZ19">
        <v>6.5392118000000004</v>
      </c>
    </row>
    <row r="20" spans="1:52" x14ac:dyDescent="0.2">
      <c r="A20">
        <v>56</v>
      </c>
      <c r="B20" t="s">
        <v>35</v>
      </c>
      <c r="C20" t="s">
        <v>2</v>
      </c>
      <c r="D20">
        <v>72</v>
      </c>
      <c r="E20" t="s">
        <v>27</v>
      </c>
      <c r="G20">
        <v>56</v>
      </c>
      <c r="H20" t="s">
        <v>35</v>
      </c>
      <c r="I20" t="s">
        <v>2</v>
      </c>
      <c r="J20">
        <v>72</v>
      </c>
      <c r="K20" t="s">
        <v>27</v>
      </c>
      <c r="AD20" t="s">
        <v>144</v>
      </c>
      <c r="AE20">
        <v>1.3398E-2</v>
      </c>
      <c r="AY20" t="s">
        <v>93</v>
      </c>
      <c r="AZ20">
        <v>1.1744771000000001</v>
      </c>
    </row>
    <row r="21" spans="1:52" x14ac:dyDescent="0.2">
      <c r="A21">
        <v>57</v>
      </c>
      <c r="B21" t="s">
        <v>35</v>
      </c>
      <c r="C21" t="s">
        <v>2</v>
      </c>
      <c r="D21">
        <v>75</v>
      </c>
      <c r="E21" t="s">
        <v>27</v>
      </c>
      <c r="G21">
        <v>57</v>
      </c>
      <c r="H21" t="s">
        <v>35</v>
      </c>
      <c r="I21" t="s">
        <v>2</v>
      </c>
      <c r="J21">
        <v>75</v>
      </c>
      <c r="K21" t="s">
        <v>27</v>
      </c>
      <c r="AD21" t="s">
        <v>145</v>
      </c>
      <c r="AE21">
        <v>1.2179999999999999E-3</v>
      </c>
      <c r="AY21" t="s">
        <v>94</v>
      </c>
      <c r="AZ21">
        <v>72.205054000000004</v>
      </c>
    </row>
    <row r="22" spans="1:52" x14ac:dyDescent="0.2">
      <c r="A22">
        <v>60</v>
      </c>
      <c r="B22" t="s">
        <v>35</v>
      </c>
      <c r="C22" t="s">
        <v>2</v>
      </c>
      <c r="D22">
        <v>72</v>
      </c>
      <c r="E22" t="s">
        <v>27</v>
      </c>
      <c r="G22">
        <v>60</v>
      </c>
      <c r="H22" t="s">
        <v>35</v>
      </c>
      <c r="I22" t="s">
        <v>2</v>
      </c>
      <c r="J22">
        <v>72</v>
      </c>
      <c r="K22" t="s">
        <v>27</v>
      </c>
      <c r="AD22" t="s">
        <v>146</v>
      </c>
      <c r="AE22">
        <v>6.3153280000000001</v>
      </c>
      <c r="AY22" t="s">
        <v>95</v>
      </c>
      <c r="AZ22">
        <v>67.407848999999999</v>
      </c>
    </row>
    <row r="23" spans="1:52" x14ac:dyDescent="0.2">
      <c r="A23">
        <v>63</v>
      </c>
      <c r="B23" t="s">
        <v>35</v>
      </c>
      <c r="C23" t="s">
        <v>3</v>
      </c>
      <c r="D23">
        <v>76</v>
      </c>
      <c r="E23" t="s">
        <v>27</v>
      </c>
      <c r="G23">
        <v>63</v>
      </c>
      <c r="H23" t="s">
        <v>35</v>
      </c>
      <c r="I23" t="s">
        <v>3</v>
      </c>
      <c r="J23">
        <v>76</v>
      </c>
      <c r="K23" t="s">
        <v>27</v>
      </c>
      <c r="AD23" t="s">
        <v>147</v>
      </c>
      <c r="AE23">
        <v>69.969700000000003</v>
      </c>
      <c r="AY23" t="s">
        <v>96</v>
      </c>
      <c r="AZ23">
        <v>31</v>
      </c>
    </row>
    <row r="24" spans="1:52" x14ac:dyDescent="0.2">
      <c r="A24">
        <v>64</v>
      </c>
      <c r="B24" t="s">
        <v>29</v>
      </c>
      <c r="C24" t="s">
        <v>3</v>
      </c>
      <c r="D24">
        <v>60</v>
      </c>
      <c r="E24" t="s">
        <v>27</v>
      </c>
      <c r="G24">
        <v>64</v>
      </c>
      <c r="H24" t="s">
        <v>29</v>
      </c>
      <c r="I24" t="s">
        <v>3</v>
      </c>
      <c r="J24">
        <v>60</v>
      </c>
      <c r="K24" t="s">
        <v>27</v>
      </c>
      <c r="AD24" t="s">
        <v>148</v>
      </c>
      <c r="AE24">
        <v>165</v>
      </c>
    </row>
    <row r="25" spans="1:52" x14ac:dyDescent="0.2">
      <c r="A25">
        <v>70</v>
      </c>
      <c r="B25" t="s">
        <v>35</v>
      </c>
      <c r="C25" t="s">
        <v>3</v>
      </c>
      <c r="D25">
        <v>78</v>
      </c>
      <c r="E25" t="s">
        <v>27</v>
      </c>
      <c r="G25">
        <v>70</v>
      </c>
      <c r="H25" t="s">
        <v>35</v>
      </c>
      <c r="I25" t="s">
        <v>3</v>
      </c>
      <c r="J25">
        <v>78</v>
      </c>
      <c r="K25" t="s">
        <v>27</v>
      </c>
    </row>
    <row r="26" spans="1:52" x14ac:dyDescent="0.2">
      <c r="A26">
        <v>71</v>
      </c>
      <c r="B26" t="s">
        <v>35</v>
      </c>
      <c r="C26" t="s">
        <v>3</v>
      </c>
      <c r="D26">
        <v>65</v>
      </c>
      <c r="E26" t="s">
        <v>27</v>
      </c>
      <c r="G26">
        <v>71</v>
      </c>
      <c r="H26" t="s">
        <v>35</v>
      </c>
      <c r="I26" t="s">
        <v>3</v>
      </c>
      <c r="J26">
        <v>65</v>
      </c>
      <c r="K26" t="s">
        <v>27</v>
      </c>
      <c r="O26" t="s">
        <v>68</v>
      </c>
    </row>
    <row r="27" spans="1:52" ht="16" thickBot="1" x14ac:dyDescent="0.25">
      <c r="A27">
        <v>72</v>
      </c>
      <c r="B27" t="s">
        <v>25</v>
      </c>
      <c r="C27" t="s">
        <v>2</v>
      </c>
      <c r="D27">
        <v>75</v>
      </c>
      <c r="E27" t="s">
        <v>27</v>
      </c>
      <c r="G27">
        <v>72</v>
      </c>
      <c r="H27" t="s">
        <v>25</v>
      </c>
      <c r="I27" t="s">
        <v>2</v>
      </c>
      <c r="J27">
        <v>75</v>
      </c>
      <c r="K27" t="s">
        <v>27</v>
      </c>
      <c r="O27" t="s">
        <v>81</v>
      </c>
    </row>
    <row r="28" spans="1:52" x14ac:dyDescent="0.2">
      <c r="A28">
        <v>74</v>
      </c>
      <c r="B28" t="s">
        <v>25</v>
      </c>
      <c r="C28" t="s">
        <v>2</v>
      </c>
      <c r="D28">
        <v>61</v>
      </c>
      <c r="E28" t="s">
        <v>27</v>
      </c>
      <c r="G28">
        <v>74</v>
      </c>
      <c r="H28" t="s">
        <v>25</v>
      </c>
      <c r="I28" t="s">
        <v>2</v>
      </c>
      <c r="J28">
        <v>61</v>
      </c>
      <c r="K28" t="s">
        <v>27</v>
      </c>
      <c r="O28" s="21"/>
      <c r="P28" s="21" t="s">
        <v>79</v>
      </c>
      <c r="Q28" s="21" t="s">
        <v>80</v>
      </c>
      <c r="AY28" t="s">
        <v>101</v>
      </c>
    </row>
    <row r="29" spans="1:52" x14ac:dyDescent="0.2">
      <c r="A29">
        <v>80</v>
      </c>
      <c r="B29" t="s">
        <v>35</v>
      </c>
      <c r="C29" t="s">
        <v>2</v>
      </c>
      <c r="D29" s="23">
        <v>46</v>
      </c>
      <c r="E29" t="s">
        <v>27</v>
      </c>
      <c r="G29">
        <v>80</v>
      </c>
      <c r="H29" t="s">
        <v>35</v>
      </c>
      <c r="I29" t="s">
        <v>2</v>
      </c>
      <c r="K29" t="s">
        <v>27</v>
      </c>
      <c r="O29" t="s">
        <v>69</v>
      </c>
      <c r="P29">
        <v>67.92307692307692</v>
      </c>
      <c r="Q29">
        <v>72.096774193548384</v>
      </c>
      <c r="AD29" t="s">
        <v>149</v>
      </c>
    </row>
    <row r="30" spans="1:52" x14ac:dyDescent="0.2">
      <c r="A30">
        <v>84</v>
      </c>
      <c r="B30" t="s">
        <v>35</v>
      </c>
      <c r="C30" t="s">
        <v>3</v>
      </c>
      <c r="D30">
        <v>80</v>
      </c>
      <c r="E30" t="s">
        <v>27</v>
      </c>
      <c r="G30">
        <v>84</v>
      </c>
      <c r="H30" t="s">
        <v>35</v>
      </c>
      <c r="I30" t="s">
        <v>3</v>
      </c>
      <c r="J30">
        <v>80</v>
      </c>
      <c r="K30" t="s">
        <v>27</v>
      </c>
      <c r="O30" t="s">
        <v>70</v>
      </c>
      <c r="P30">
        <v>70.178137651821572</v>
      </c>
      <c r="Q30">
        <v>229.95698924731212</v>
      </c>
    </row>
    <row r="31" spans="1:52" x14ac:dyDescent="0.2">
      <c r="A31">
        <v>91</v>
      </c>
      <c r="B31" t="s">
        <v>29</v>
      </c>
      <c r="C31" t="s">
        <v>3</v>
      </c>
      <c r="D31">
        <v>66</v>
      </c>
      <c r="E31" t="s">
        <v>33</v>
      </c>
      <c r="G31">
        <v>91</v>
      </c>
      <c r="H31" t="s">
        <v>29</v>
      </c>
      <c r="I31" t="s">
        <v>3</v>
      </c>
      <c r="J31">
        <v>66</v>
      </c>
      <c r="K31" t="s">
        <v>33</v>
      </c>
      <c r="O31" t="s">
        <v>71</v>
      </c>
      <c r="P31">
        <v>39</v>
      </c>
      <c r="Q31">
        <v>31</v>
      </c>
      <c r="AD31" t="s">
        <v>150</v>
      </c>
      <c r="AE31" t="s">
        <v>114</v>
      </c>
      <c r="AF31" t="s">
        <v>151</v>
      </c>
      <c r="AG31" t="s">
        <v>152</v>
      </c>
      <c r="AH31" t="s">
        <v>153</v>
      </c>
      <c r="AI31" t="s">
        <v>154</v>
      </c>
      <c r="AY31" t="s">
        <v>55</v>
      </c>
    </row>
    <row r="32" spans="1:52" x14ac:dyDescent="0.2">
      <c r="A32">
        <v>93</v>
      </c>
      <c r="B32" t="s">
        <v>35</v>
      </c>
      <c r="C32" t="s">
        <v>3</v>
      </c>
      <c r="D32">
        <v>57</v>
      </c>
      <c r="E32" t="s">
        <v>27</v>
      </c>
      <c r="G32">
        <v>93</v>
      </c>
      <c r="H32" t="s">
        <v>35</v>
      </c>
      <c r="I32" t="s">
        <v>3</v>
      </c>
      <c r="J32">
        <v>57</v>
      </c>
      <c r="K32" t="s">
        <v>27</v>
      </c>
      <c r="O32" t="s">
        <v>72</v>
      </c>
      <c r="P32">
        <v>0</v>
      </c>
      <c r="AD32" t="s">
        <v>7</v>
      </c>
      <c r="AE32">
        <v>2</v>
      </c>
      <c r="AF32">
        <v>87.742199999999997</v>
      </c>
      <c r="AG32">
        <v>43.871099999999998</v>
      </c>
      <c r="AH32">
        <v>1.1000000000000001</v>
      </c>
      <c r="AI32" s="23">
        <v>0.33529999999999999</v>
      </c>
    </row>
    <row r="33" spans="1:52" x14ac:dyDescent="0.2">
      <c r="A33">
        <v>96</v>
      </c>
      <c r="B33" t="s">
        <v>35</v>
      </c>
      <c r="C33" t="s">
        <v>2</v>
      </c>
      <c r="D33">
        <v>64</v>
      </c>
      <c r="E33" t="s">
        <v>27</v>
      </c>
      <c r="G33">
        <v>96</v>
      </c>
      <c r="H33" t="s">
        <v>35</v>
      </c>
      <c r="I33" t="s">
        <v>2</v>
      </c>
      <c r="J33">
        <v>64</v>
      </c>
      <c r="K33" t="s">
        <v>27</v>
      </c>
      <c r="O33" t="s">
        <v>73</v>
      </c>
      <c r="P33">
        <v>44</v>
      </c>
      <c r="AD33" t="s">
        <v>155</v>
      </c>
      <c r="AE33">
        <v>162</v>
      </c>
      <c r="AF33">
        <v>6461.1063000000004</v>
      </c>
      <c r="AG33">
        <v>39.883400000000002</v>
      </c>
    </row>
    <row r="34" spans="1:52" ht="16" thickBot="1" x14ac:dyDescent="0.25">
      <c r="A34">
        <v>99</v>
      </c>
      <c r="B34" t="s">
        <v>29</v>
      </c>
      <c r="C34" t="s">
        <v>2</v>
      </c>
      <c r="D34">
        <v>77</v>
      </c>
      <c r="E34" t="s">
        <v>27</v>
      </c>
      <c r="G34">
        <v>99</v>
      </c>
      <c r="H34" t="s">
        <v>29</v>
      </c>
      <c r="I34" t="s">
        <v>2</v>
      </c>
      <c r="J34">
        <v>77</v>
      </c>
      <c r="K34" t="s">
        <v>27</v>
      </c>
      <c r="O34" t="s">
        <v>74</v>
      </c>
      <c r="P34">
        <v>-1.3747273319999316</v>
      </c>
      <c r="AD34" t="s">
        <v>156</v>
      </c>
      <c r="AE34">
        <v>164</v>
      </c>
      <c r="AF34">
        <v>6548.8485000000001</v>
      </c>
    </row>
    <row r="35" spans="1:52" ht="16" thickBot="1" x14ac:dyDescent="0.25">
      <c r="A35">
        <v>100</v>
      </c>
      <c r="B35" t="s">
        <v>29</v>
      </c>
      <c r="C35" t="s">
        <v>3</v>
      </c>
      <c r="D35">
        <v>69</v>
      </c>
      <c r="E35" t="s">
        <v>27</v>
      </c>
      <c r="G35">
        <v>100</v>
      </c>
      <c r="H35" t="s">
        <v>29</v>
      </c>
      <c r="I35" t="s">
        <v>3</v>
      </c>
      <c r="J35">
        <v>69</v>
      </c>
      <c r="K35" t="s">
        <v>27</v>
      </c>
      <c r="O35" t="s">
        <v>75</v>
      </c>
      <c r="P35" s="22">
        <v>8.8088487780337135E-2</v>
      </c>
    </row>
    <row r="36" spans="1:52" x14ac:dyDescent="0.2">
      <c r="A36">
        <v>101</v>
      </c>
      <c r="B36" t="s">
        <v>35</v>
      </c>
      <c r="C36" t="s">
        <v>3</v>
      </c>
      <c r="D36">
        <v>80</v>
      </c>
      <c r="E36" t="s">
        <v>27</v>
      </c>
      <c r="G36">
        <v>101</v>
      </c>
      <c r="H36" t="s">
        <v>35</v>
      </c>
      <c r="I36" t="s">
        <v>3</v>
      </c>
      <c r="J36">
        <v>80</v>
      </c>
      <c r="K36" t="s">
        <v>27</v>
      </c>
      <c r="O36" t="s">
        <v>76</v>
      </c>
      <c r="P36">
        <v>1.680229976572116</v>
      </c>
    </row>
    <row r="37" spans="1:52" x14ac:dyDescent="0.2">
      <c r="A37">
        <v>102</v>
      </c>
      <c r="B37" t="s">
        <v>25</v>
      </c>
      <c r="C37" t="s">
        <v>3</v>
      </c>
      <c r="D37">
        <v>75</v>
      </c>
      <c r="E37" t="s">
        <v>33</v>
      </c>
      <c r="G37">
        <v>102</v>
      </c>
      <c r="H37" t="s">
        <v>25</v>
      </c>
      <c r="I37" t="s">
        <v>3</v>
      </c>
      <c r="J37">
        <v>75</v>
      </c>
      <c r="K37" t="s">
        <v>33</v>
      </c>
      <c r="O37" t="s">
        <v>77</v>
      </c>
      <c r="P37">
        <v>0.17617697556067427</v>
      </c>
      <c r="AY37" t="s">
        <v>90</v>
      </c>
    </row>
    <row r="38" spans="1:52" ht="16" thickBot="1" x14ac:dyDescent="0.25">
      <c r="A38">
        <v>103</v>
      </c>
      <c r="B38" t="s">
        <v>35</v>
      </c>
      <c r="C38" t="s">
        <v>2</v>
      </c>
      <c r="D38">
        <v>72</v>
      </c>
      <c r="E38" t="s">
        <v>27</v>
      </c>
      <c r="G38">
        <v>103</v>
      </c>
      <c r="H38" t="s">
        <v>35</v>
      </c>
      <c r="I38" t="s">
        <v>2</v>
      </c>
      <c r="J38">
        <v>72</v>
      </c>
      <c r="K38" t="s">
        <v>27</v>
      </c>
      <c r="O38" s="20" t="s">
        <v>78</v>
      </c>
      <c r="P38" s="20">
        <v>2.0153675744437649</v>
      </c>
      <c r="Q38" s="20"/>
    </row>
    <row r="39" spans="1:52" x14ac:dyDescent="0.2">
      <c r="A39">
        <v>105</v>
      </c>
      <c r="B39" t="s">
        <v>29</v>
      </c>
      <c r="C39" t="s">
        <v>2</v>
      </c>
      <c r="D39">
        <v>71</v>
      </c>
      <c r="E39" t="s">
        <v>33</v>
      </c>
      <c r="G39">
        <v>105</v>
      </c>
      <c r="H39" t="s">
        <v>29</v>
      </c>
      <c r="I39" t="s">
        <v>2</v>
      </c>
      <c r="J39">
        <v>71</v>
      </c>
      <c r="K39" t="s">
        <v>33</v>
      </c>
      <c r="AD39" t="s">
        <v>157</v>
      </c>
      <c r="AY39" t="s">
        <v>91</v>
      </c>
      <c r="AZ39" t="s">
        <v>91</v>
      </c>
    </row>
    <row r="40" spans="1:52" x14ac:dyDescent="0.2">
      <c r="A40">
        <v>111</v>
      </c>
      <c r="B40" t="s">
        <v>25</v>
      </c>
      <c r="C40" t="s">
        <v>2</v>
      </c>
      <c r="D40">
        <v>65</v>
      </c>
      <c r="E40" t="s">
        <v>33</v>
      </c>
      <c r="G40">
        <v>111</v>
      </c>
      <c r="H40" t="s">
        <v>25</v>
      </c>
      <c r="I40" t="s">
        <v>2</v>
      </c>
      <c r="J40">
        <v>65</v>
      </c>
      <c r="K40" t="s">
        <v>33</v>
      </c>
      <c r="AY40" t="s">
        <v>69</v>
      </c>
      <c r="AZ40">
        <v>67.923077000000006</v>
      </c>
    </row>
    <row r="41" spans="1:52" x14ac:dyDescent="0.2">
      <c r="A41">
        <v>113</v>
      </c>
      <c r="B41" t="s">
        <v>29</v>
      </c>
      <c r="C41" t="s">
        <v>3</v>
      </c>
      <c r="D41">
        <v>63</v>
      </c>
      <c r="E41" t="s">
        <v>27</v>
      </c>
      <c r="G41">
        <v>113</v>
      </c>
      <c r="H41" t="s">
        <v>29</v>
      </c>
      <c r="I41" t="s">
        <v>3</v>
      </c>
      <c r="J41">
        <v>63</v>
      </c>
      <c r="K41" t="s">
        <v>27</v>
      </c>
      <c r="AD41" t="s">
        <v>158</v>
      </c>
      <c r="AE41" t="s">
        <v>159</v>
      </c>
      <c r="AF41" t="s">
        <v>69</v>
      </c>
      <c r="AG41" t="s">
        <v>160</v>
      </c>
      <c r="AH41" t="s">
        <v>161</v>
      </c>
      <c r="AI41" t="s">
        <v>162</v>
      </c>
      <c r="AY41" t="s">
        <v>92</v>
      </c>
      <c r="AZ41">
        <v>8.3772392999999994</v>
      </c>
    </row>
    <row r="42" spans="1:52" x14ac:dyDescent="0.2">
      <c r="A42">
        <v>120</v>
      </c>
      <c r="B42" t="s">
        <v>25</v>
      </c>
      <c r="C42" t="s">
        <v>3</v>
      </c>
      <c r="D42">
        <v>72</v>
      </c>
      <c r="E42" t="s">
        <v>33</v>
      </c>
      <c r="G42">
        <v>120</v>
      </c>
      <c r="H42" t="s">
        <v>25</v>
      </c>
      <c r="I42" t="s">
        <v>3</v>
      </c>
      <c r="J42">
        <v>72</v>
      </c>
      <c r="K42" t="s">
        <v>33</v>
      </c>
      <c r="AD42" t="s">
        <v>29</v>
      </c>
      <c r="AE42">
        <v>69</v>
      </c>
      <c r="AF42">
        <v>69.115899999999996</v>
      </c>
      <c r="AG42">
        <v>0.76027999999999996</v>
      </c>
      <c r="AH42">
        <v>67.614999999999995</v>
      </c>
      <c r="AI42">
        <v>70.617000000000004</v>
      </c>
      <c r="AY42" t="s">
        <v>93</v>
      </c>
      <c r="AZ42">
        <v>1.3414318999999999</v>
      </c>
    </row>
    <row r="43" spans="1:52" x14ac:dyDescent="0.2">
      <c r="A43">
        <v>121</v>
      </c>
      <c r="B43" t="s">
        <v>25</v>
      </c>
      <c r="C43" t="s">
        <v>3</v>
      </c>
      <c r="D43">
        <v>79</v>
      </c>
      <c r="E43" t="s">
        <v>33</v>
      </c>
      <c r="G43">
        <v>121</v>
      </c>
      <c r="H43" t="s">
        <v>25</v>
      </c>
      <c r="I43" t="s">
        <v>3</v>
      </c>
      <c r="J43">
        <v>79</v>
      </c>
      <c r="K43" t="s">
        <v>33</v>
      </c>
      <c r="N43" t="s">
        <v>89</v>
      </c>
      <c r="U43" t="s">
        <v>140</v>
      </c>
      <c r="AD43" t="s">
        <v>25</v>
      </c>
      <c r="AE43">
        <v>47</v>
      </c>
      <c r="AF43">
        <v>70.702100000000002</v>
      </c>
      <c r="AG43">
        <v>0.92118999999999995</v>
      </c>
      <c r="AH43">
        <v>68.882999999999996</v>
      </c>
      <c r="AI43">
        <v>72.521000000000001</v>
      </c>
      <c r="AY43" t="s">
        <v>94</v>
      </c>
      <c r="AZ43">
        <v>70.638664000000006</v>
      </c>
    </row>
    <row r="44" spans="1:52" x14ac:dyDescent="0.2">
      <c r="A44">
        <v>122</v>
      </c>
      <c r="B44" t="s">
        <v>29</v>
      </c>
      <c r="C44" t="s">
        <v>3</v>
      </c>
      <c r="D44">
        <v>64</v>
      </c>
      <c r="E44" t="s">
        <v>33</v>
      </c>
      <c r="G44">
        <v>122</v>
      </c>
      <c r="H44" t="s">
        <v>29</v>
      </c>
      <c r="I44" t="s">
        <v>3</v>
      </c>
      <c r="J44">
        <v>64</v>
      </c>
      <c r="K44" t="s">
        <v>33</v>
      </c>
      <c r="N44" t="s">
        <v>55</v>
      </c>
      <c r="U44" t="s">
        <v>1</v>
      </c>
      <c r="AD44" t="s">
        <v>35</v>
      </c>
      <c r="AE44">
        <v>49</v>
      </c>
      <c r="AF44">
        <v>70.469399999999993</v>
      </c>
      <c r="AG44">
        <v>0.90219000000000005</v>
      </c>
      <c r="AH44">
        <v>68.688000000000002</v>
      </c>
      <c r="AI44">
        <v>72.251000000000005</v>
      </c>
      <c r="AY44" t="s">
        <v>95</v>
      </c>
      <c r="AZ44">
        <v>65.207490000000007</v>
      </c>
    </row>
    <row r="45" spans="1:52" x14ac:dyDescent="0.2">
      <c r="A45">
        <v>126</v>
      </c>
      <c r="B45" t="s">
        <v>25</v>
      </c>
      <c r="C45" t="s">
        <v>3</v>
      </c>
      <c r="D45">
        <v>83</v>
      </c>
      <c r="E45" t="s">
        <v>27</v>
      </c>
      <c r="G45">
        <v>126</v>
      </c>
      <c r="H45" t="s">
        <v>25</v>
      </c>
      <c r="I45" t="s">
        <v>3</v>
      </c>
      <c r="J45">
        <v>83</v>
      </c>
      <c r="K45" t="s">
        <v>27</v>
      </c>
      <c r="N45" t="s">
        <v>130</v>
      </c>
      <c r="U45" t="s">
        <v>137</v>
      </c>
      <c r="AY45" t="s">
        <v>96</v>
      </c>
      <c r="AZ45">
        <v>39</v>
      </c>
    </row>
    <row r="46" spans="1:52" x14ac:dyDescent="0.2">
      <c r="A46">
        <v>128</v>
      </c>
      <c r="B46" t="s">
        <v>25</v>
      </c>
      <c r="C46" t="s">
        <v>2</v>
      </c>
      <c r="D46">
        <v>66</v>
      </c>
      <c r="E46" t="s">
        <v>33</v>
      </c>
      <c r="G46">
        <v>128</v>
      </c>
      <c r="H46" t="s">
        <v>25</v>
      </c>
      <c r="I46" t="s">
        <v>2</v>
      </c>
      <c r="J46">
        <v>66</v>
      </c>
      <c r="K46" t="s">
        <v>33</v>
      </c>
    </row>
    <row r="47" spans="1:52" x14ac:dyDescent="0.2">
      <c r="A47">
        <v>130</v>
      </c>
      <c r="B47" t="s">
        <v>25</v>
      </c>
      <c r="C47" t="s">
        <v>2</v>
      </c>
      <c r="D47">
        <v>74</v>
      </c>
      <c r="E47" t="s">
        <v>33</v>
      </c>
      <c r="G47">
        <v>130</v>
      </c>
      <c r="H47" t="s">
        <v>25</v>
      </c>
      <c r="I47" t="s">
        <v>2</v>
      </c>
      <c r="J47">
        <v>74</v>
      </c>
      <c r="K47" t="s">
        <v>33</v>
      </c>
      <c r="N47" t="s">
        <v>90</v>
      </c>
      <c r="U47" t="s">
        <v>107</v>
      </c>
      <c r="AD47" t="s">
        <v>163</v>
      </c>
    </row>
    <row r="48" spans="1:52" x14ac:dyDescent="0.2">
      <c r="A48">
        <v>131</v>
      </c>
      <c r="B48" t="s">
        <v>25</v>
      </c>
      <c r="C48" t="s">
        <v>2</v>
      </c>
      <c r="D48">
        <v>76</v>
      </c>
      <c r="E48" t="s">
        <v>27</v>
      </c>
      <c r="G48">
        <v>131</v>
      </c>
      <c r="H48" t="s">
        <v>25</v>
      </c>
      <c r="I48" t="s">
        <v>2</v>
      </c>
      <c r="J48">
        <v>76</v>
      </c>
      <c r="K48" t="s">
        <v>27</v>
      </c>
      <c r="N48" t="s">
        <v>69</v>
      </c>
      <c r="O48">
        <v>69.806451999999993</v>
      </c>
      <c r="U48">
        <v>1</v>
      </c>
    </row>
    <row r="49" spans="1:52" x14ac:dyDescent="0.2">
      <c r="A49">
        <v>132</v>
      </c>
      <c r="B49" t="s">
        <v>25</v>
      </c>
      <c r="C49" t="s">
        <v>2</v>
      </c>
      <c r="D49">
        <v>67</v>
      </c>
      <c r="E49" t="s">
        <v>27</v>
      </c>
      <c r="G49">
        <v>132</v>
      </c>
      <c r="H49" t="s">
        <v>25</v>
      </c>
      <c r="I49" t="s">
        <v>2</v>
      </c>
      <c r="J49">
        <v>67</v>
      </c>
      <c r="K49" t="s">
        <v>27</v>
      </c>
      <c r="N49" t="s">
        <v>92</v>
      </c>
      <c r="O49">
        <v>6.5392118000000004</v>
      </c>
    </row>
    <row r="50" spans="1:52" x14ac:dyDescent="0.2">
      <c r="A50">
        <v>135</v>
      </c>
      <c r="B50" t="s">
        <v>35</v>
      </c>
      <c r="C50" t="s">
        <v>3</v>
      </c>
      <c r="D50">
        <v>73</v>
      </c>
      <c r="E50" t="s">
        <v>27</v>
      </c>
      <c r="G50">
        <v>135</v>
      </c>
      <c r="H50" t="s">
        <v>35</v>
      </c>
      <c r="I50" t="s">
        <v>3</v>
      </c>
      <c r="J50">
        <v>73</v>
      </c>
      <c r="K50" t="s">
        <v>27</v>
      </c>
      <c r="N50" t="s">
        <v>93</v>
      </c>
      <c r="O50">
        <v>1.1744771000000001</v>
      </c>
      <c r="AY50" t="s">
        <v>102</v>
      </c>
    </row>
    <row r="51" spans="1:52" x14ac:dyDescent="0.2">
      <c r="A51">
        <v>138</v>
      </c>
      <c r="B51" t="s">
        <v>35</v>
      </c>
      <c r="C51" t="s">
        <v>3</v>
      </c>
      <c r="D51">
        <v>73</v>
      </c>
      <c r="E51" t="s">
        <v>27</v>
      </c>
      <c r="G51">
        <v>138</v>
      </c>
      <c r="H51" t="s">
        <v>35</v>
      </c>
      <c r="I51" t="s">
        <v>3</v>
      </c>
      <c r="J51">
        <v>73</v>
      </c>
      <c r="K51" t="s">
        <v>27</v>
      </c>
      <c r="N51" t="s">
        <v>94</v>
      </c>
      <c r="O51">
        <v>72.205054000000004</v>
      </c>
      <c r="U51" t="s">
        <v>108</v>
      </c>
      <c r="AD51" t="s">
        <v>164</v>
      </c>
    </row>
    <row r="52" spans="1:52" x14ac:dyDescent="0.2">
      <c r="A52">
        <v>141</v>
      </c>
      <c r="B52" t="s">
        <v>29</v>
      </c>
      <c r="C52" t="s">
        <v>2</v>
      </c>
      <c r="D52">
        <v>61</v>
      </c>
      <c r="E52" t="s">
        <v>33</v>
      </c>
      <c r="G52">
        <v>141</v>
      </c>
      <c r="H52" t="s">
        <v>29</v>
      </c>
      <c r="I52" t="s">
        <v>2</v>
      </c>
      <c r="J52">
        <v>61</v>
      </c>
      <c r="K52" t="s">
        <v>33</v>
      </c>
      <c r="N52" t="s">
        <v>95</v>
      </c>
      <c r="O52">
        <v>67.407848999999999</v>
      </c>
      <c r="U52" t="s">
        <v>109</v>
      </c>
    </row>
    <row r="53" spans="1:52" x14ac:dyDescent="0.2">
      <c r="A53">
        <v>147</v>
      </c>
      <c r="B53" t="s">
        <v>29</v>
      </c>
      <c r="C53" t="s">
        <v>2</v>
      </c>
      <c r="D53">
        <v>79</v>
      </c>
      <c r="E53" t="s">
        <v>33</v>
      </c>
      <c r="G53">
        <v>147</v>
      </c>
      <c r="H53" t="s">
        <v>29</v>
      </c>
      <c r="I53" t="s">
        <v>2</v>
      </c>
      <c r="J53">
        <v>79</v>
      </c>
      <c r="K53" t="s">
        <v>33</v>
      </c>
      <c r="N53" t="s">
        <v>96</v>
      </c>
      <c r="O53">
        <v>31</v>
      </c>
      <c r="AY53" t="s">
        <v>55</v>
      </c>
    </row>
    <row r="54" spans="1:52" x14ac:dyDescent="0.2">
      <c r="A54">
        <v>150</v>
      </c>
      <c r="B54" t="s">
        <v>25</v>
      </c>
      <c r="C54" t="s">
        <v>2</v>
      </c>
      <c r="D54">
        <v>68</v>
      </c>
      <c r="E54" t="s">
        <v>33</v>
      </c>
      <c r="G54">
        <v>150</v>
      </c>
      <c r="H54" t="s">
        <v>25</v>
      </c>
      <c r="I54" t="s">
        <v>2</v>
      </c>
      <c r="J54">
        <v>68</v>
      </c>
      <c r="K54" t="s">
        <v>33</v>
      </c>
      <c r="U54" t="s">
        <v>110</v>
      </c>
      <c r="AD54" t="s">
        <v>165</v>
      </c>
    </row>
    <row r="55" spans="1:52" x14ac:dyDescent="0.2">
      <c r="A55">
        <v>157</v>
      </c>
      <c r="B55" t="s">
        <v>35</v>
      </c>
      <c r="C55" t="s">
        <v>3</v>
      </c>
      <c r="D55">
        <v>66</v>
      </c>
      <c r="E55" t="s">
        <v>27</v>
      </c>
      <c r="G55">
        <v>157</v>
      </c>
      <c r="H55" t="s">
        <v>35</v>
      </c>
      <c r="I55" t="s">
        <v>3</v>
      </c>
      <c r="J55">
        <v>66</v>
      </c>
      <c r="K55" t="s">
        <v>27</v>
      </c>
      <c r="N55" t="s">
        <v>97</v>
      </c>
      <c r="O55" t="s">
        <v>91</v>
      </c>
    </row>
    <row r="56" spans="1:52" x14ac:dyDescent="0.2">
      <c r="A56">
        <v>158</v>
      </c>
      <c r="B56" t="s">
        <v>29</v>
      </c>
      <c r="C56" t="s">
        <v>3</v>
      </c>
      <c r="D56">
        <v>66</v>
      </c>
      <c r="E56" t="s">
        <v>27</v>
      </c>
      <c r="G56">
        <v>158</v>
      </c>
      <c r="H56" t="s">
        <v>29</v>
      </c>
      <c r="I56" t="s">
        <v>3</v>
      </c>
      <c r="J56">
        <v>66</v>
      </c>
      <c r="K56" t="s">
        <v>27</v>
      </c>
      <c r="N56" t="s">
        <v>98</v>
      </c>
    </row>
    <row r="57" spans="1:52" x14ac:dyDescent="0.2">
      <c r="A57">
        <v>159</v>
      </c>
      <c r="B57" t="s">
        <v>29</v>
      </c>
      <c r="C57" t="s">
        <v>2</v>
      </c>
      <c r="D57">
        <v>76</v>
      </c>
      <c r="E57" t="s">
        <v>27</v>
      </c>
      <c r="G57">
        <v>159</v>
      </c>
      <c r="H57" t="s">
        <v>29</v>
      </c>
      <c r="I57" t="s">
        <v>2</v>
      </c>
      <c r="J57">
        <v>76</v>
      </c>
      <c r="K57" t="s">
        <v>27</v>
      </c>
      <c r="N57" t="s">
        <v>99</v>
      </c>
      <c r="U57" t="s">
        <v>91</v>
      </c>
      <c r="V57" t="s">
        <v>91</v>
      </c>
      <c r="W57" t="s">
        <v>91</v>
      </c>
      <c r="X57" t="s">
        <v>91</v>
      </c>
      <c r="AD57" t="s">
        <v>166</v>
      </c>
    </row>
    <row r="58" spans="1:52" x14ac:dyDescent="0.2">
      <c r="A58">
        <v>164</v>
      </c>
      <c r="B58" t="s">
        <v>29</v>
      </c>
      <c r="C58" t="s">
        <v>3</v>
      </c>
      <c r="D58">
        <v>67</v>
      </c>
      <c r="E58" t="s">
        <v>27</v>
      </c>
      <c r="G58">
        <v>164</v>
      </c>
      <c r="H58" t="s">
        <v>29</v>
      </c>
      <c r="I58" t="s">
        <v>3</v>
      </c>
      <c r="J58">
        <v>67</v>
      </c>
      <c r="K58" t="s">
        <v>27</v>
      </c>
      <c r="N58" t="s">
        <v>35</v>
      </c>
      <c r="O58" t="s">
        <v>91</v>
      </c>
      <c r="P58" t="s">
        <v>100</v>
      </c>
      <c r="U58" t="s">
        <v>111</v>
      </c>
      <c r="V58">
        <v>-1.2538</v>
      </c>
      <c r="W58" t="s">
        <v>112</v>
      </c>
      <c r="X58">
        <v>-0.74160999999999999</v>
      </c>
    </row>
    <row r="59" spans="1:52" x14ac:dyDescent="0.2">
      <c r="A59">
        <v>165</v>
      </c>
      <c r="B59" t="s">
        <v>35</v>
      </c>
      <c r="C59" t="s">
        <v>2</v>
      </c>
      <c r="D59">
        <v>63</v>
      </c>
      <c r="E59" t="s">
        <v>27</v>
      </c>
      <c r="G59">
        <v>165</v>
      </c>
      <c r="H59" t="s">
        <v>35</v>
      </c>
      <c r="I59" t="s">
        <v>2</v>
      </c>
      <c r="J59">
        <v>63</v>
      </c>
      <c r="K59" t="s">
        <v>27</v>
      </c>
      <c r="N59">
        <v>0.97645999999999999</v>
      </c>
      <c r="O59" t="s">
        <v>91</v>
      </c>
      <c r="P59">
        <v>0.70889999999999997</v>
      </c>
      <c r="U59" t="s">
        <v>113</v>
      </c>
      <c r="V59">
        <v>1.6907000000000001</v>
      </c>
      <c r="W59" t="s">
        <v>114</v>
      </c>
      <c r="X59">
        <v>66.672989999999999</v>
      </c>
      <c r="AD59" t="s">
        <v>167</v>
      </c>
      <c r="AE59" t="s">
        <v>168</v>
      </c>
      <c r="AY59" t="s">
        <v>90</v>
      </c>
    </row>
    <row r="60" spans="1:52" x14ac:dyDescent="0.2">
      <c r="A60">
        <v>166</v>
      </c>
      <c r="B60" t="s">
        <v>35</v>
      </c>
      <c r="C60" t="s">
        <v>2</v>
      </c>
      <c r="D60">
        <v>72</v>
      </c>
      <c r="E60" t="s">
        <v>27</v>
      </c>
      <c r="G60">
        <v>166</v>
      </c>
      <c r="H60" t="s">
        <v>35</v>
      </c>
      <c r="I60" t="s">
        <v>2</v>
      </c>
      <c r="J60">
        <v>72</v>
      </c>
      <c r="K60" t="s">
        <v>27</v>
      </c>
      <c r="U60" t="s">
        <v>115</v>
      </c>
      <c r="V60">
        <v>2.1211000000000002</v>
      </c>
      <c r="W60" t="s">
        <v>116</v>
      </c>
      <c r="X60">
        <v>0.46089999999999998</v>
      </c>
      <c r="AD60">
        <v>2.3654999999999999</v>
      </c>
      <c r="AE60">
        <v>0.05</v>
      </c>
    </row>
    <row r="61" spans="1:52" x14ac:dyDescent="0.2">
      <c r="A61">
        <v>169</v>
      </c>
      <c r="B61" t="s">
        <v>29</v>
      </c>
      <c r="C61" t="s">
        <v>2</v>
      </c>
      <c r="D61">
        <v>71</v>
      </c>
      <c r="E61" t="s">
        <v>27</v>
      </c>
      <c r="G61">
        <v>169</v>
      </c>
      <c r="H61" t="s">
        <v>29</v>
      </c>
      <c r="I61" t="s">
        <v>2</v>
      </c>
      <c r="J61">
        <v>71</v>
      </c>
      <c r="K61" t="s">
        <v>27</v>
      </c>
      <c r="U61" t="s">
        <v>117</v>
      </c>
      <c r="V61">
        <v>-4.6287000000000003</v>
      </c>
      <c r="W61" t="s">
        <v>118</v>
      </c>
      <c r="X61">
        <v>0.76949999999999996</v>
      </c>
      <c r="AY61" t="s">
        <v>91</v>
      </c>
      <c r="AZ61" t="s">
        <v>91</v>
      </c>
    </row>
    <row r="62" spans="1:52" x14ac:dyDescent="0.2">
      <c r="A62">
        <v>172</v>
      </c>
      <c r="B62" t="s">
        <v>29</v>
      </c>
      <c r="C62" t="s">
        <v>2</v>
      </c>
      <c r="D62">
        <v>66</v>
      </c>
      <c r="E62" t="s">
        <v>33</v>
      </c>
      <c r="G62">
        <v>172</v>
      </c>
      <c r="H62" t="s">
        <v>29</v>
      </c>
      <c r="I62" t="s">
        <v>2</v>
      </c>
      <c r="J62">
        <v>66</v>
      </c>
      <c r="K62" t="s">
        <v>33</v>
      </c>
      <c r="N62" t="s">
        <v>101</v>
      </c>
      <c r="U62" t="s">
        <v>119</v>
      </c>
      <c r="V62">
        <v>0.95</v>
      </c>
      <c r="W62" t="s">
        <v>120</v>
      </c>
      <c r="X62" s="23">
        <v>0.23050000000000001</v>
      </c>
      <c r="AY62" t="s">
        <v>69</v>
      </c>
      <c r="AZ62">
        <v>68.565217000000004</v>
      </c>
    </row>
    <row r="63" spans="1:52" x14ac:dyDescent="0.2">
      <c r="A63">
        <v>177</v>
      </c>
      <c r="B63" t="s">
        <v>25</v>
      </c>
      <c r="C63" t="s">
        <v>3</v>
      </c>
      <c r="D63">
        <v>70</v>
      </c>
      <c r="E63" t="s">
        <v>33</v>
      </c>
      <c r="G63">
        <v>177</v>
      </c>
      <c r="H63" t="s">
        <v>25</v>
      </c>
      <c r="I63" t="s">
        <v>3</v>
      </c>
      <c r="J63">
        <v>70</v>
      </c>
      <c r="K63" t="s">
        <v>33</v>
      </c>
      <c r="N63" t="s">
        <v>55</v>
      </c>
      <c r="AY63" t="s">
        <v>92</v>
      </c>
      <c r="AZ63">
        <v>6.6389079999999998</v>
      </c>
    </row>
    <row r="64" spans="1:52" x14ac:dyDescent="0.2">
      <c r="A64">
        <v>181</v>
      </c>
      <c r="B64" t="s">
        <v>29</v>
      </c>
      <c r="C64" t="s">
        <v>3</v>
      </c>
      <c r="D64">
        <v>65</v>
      </c>
      <c r="E64" t="s">
        <v>33</v>
      </c>
      <c r="G64">
        <v>181</v>
      </c>
      <c r="H64" t="s">
        <v>29</v>
      </c>
      <c r="I64" t="s">
        <v>3</v>
      </c>
      <c r="J64">
        <v>65</v>
      </c>
      <c r="K64" t="s">
        <v>33</v>
      </c>
      <c r="N64" t="s">
        <v>131</v>
      </c>
      <c r="AY64" t="s">
        <v>93</v>
      </c>
      <c r="AZ64">
        <v>1.3843080000000001</v>
      </c>
    </row>
    <row r="65" spans="1:52" x14ac:dyDescent="0.2">
      <c r="A65">
        <v>183</v>
      </c>
      <c r="B65" t="s">
        <v>25</v>
      </c>
      <c r="C65" t="s">
        <v>3</v>
      </c>
      <c r="D65">
        <v>73</v>
      </c>
      <c r="E65" t="s">
        <v>27</v>
      </c>
      <c r="G65">
        <v>183</v>
      </c>
      <c r="H65" t="s">
        <v>25</v>
      </c>
      <c r="I65" t="s">
        <v>3</v>
      </c>
      <c r="J65">
        <v>73</v>
      </c>
      <c r="K65" t="s">
        <v>27</v>
      </c>
      <c r="AD65" t="s">
        <v>169</v>
      </c>
      <c r="AY65" t="s">
        <v>94</v>
      </c>
      <c r="AZ65">
        <v>71.436096000000006</v>
      </c>
    </row>
    <row r="66" spans="1:52" x14ac:dyDescent="0.2">
      <c r="A66">
        <v>185</v>
      </c>
      <c r="B66" t="s">
        <v>25</v>
      </c>
      <c r="C66" t="s">
        <v>3</v>
      </c>
      <c r="D66">
        <v>74</v>
      </c>
      <c r="E66" t="s">
        <v>33</v>
      </c>
      <c r="G66">
        <v>185</v>
      </c>
      <c r="H66" t="s">
        <v>25</v>
      </c>
      <c r="I66" t="s">
        <v>3</v>
      </c>
      <c r="J66">
        <v>74</v>
      </c>
      <c r="K66" t="s">
        <v>33</v>
      </c>
      <c r="N66" t="s">
        <v>90</v>
      </c>
      <c r="U66" t="s">
        <v>4</v>
      </c>
      <c r="AD66" t="s">
        <v>170</v>
      </c>
      <c r="AY66" t="s">
        <v>95</v>
      </c>
      <c r="AZ66">
        <v>65.694338000000002</v>
      </c>
    </row>
    <row r="67" spans="1:52" x14ac:dyDescent="0.2">
      <c r="A67">
        <v>186</v>
      </c>
      <c r="B67" t="s">
        <v>25</v>
      </c>
      <c r="C67" t="s">
        <v>3</v>
      </c>
      <c r="D67">
        <v>64</v>
      </c>
      <c r="E67" t="s">
        <v>27</v>
      </c>
      <c r="G67">
        <v>186</v>
      </c>
      <c r="H67" t="s">
        <v>25</v>
      </c>
      <c r="I67" t="s">
        <v>3</v>
      </c>
      <c r="J67">
        <v>64</v>
      </c>
      <c r="K67" t="s">
        <v>27</v>
      </c>
      <c r="N67" t="s">
        <v>69</v>
      </c>
      <c r="O67">
        <v>68.552632000000003</v>
      </c>
      <c r="U67" t="s">
        <v>138</v>
      </c>
      <c r="AE67" t="s">
        <v>25</v>
      </c>
      <c r="AF67" t="s">
        <v>35</v>
      </c>
      <c r="AG67" t="s">
        <v>29</v>
      </c>
      <c r="AY67" t="s">
        <v>96</v>
      </c>
      <c r="AZ67">
        <v>23</v>
      </c>
    </row>
    <row r="68" spans="1:52" x14ac:dyDescent="0.2">
      <c r="A68">
        <v>189</v>
      </c>
      <c r="B68" t="s">
        <v>35</v>
      </c>
      <c r="C68" t="s">
        <v>3</v>
      </c>
      <c r="D68">
        <v>67</v>
      </c>
      <c r="E68" t="s">
        <v>27</v>
      </c>
      <c r="G68">
        <v>189</v>
      </c>
      <c r="H68" t="s">
        <v>35</v>
      </c>
      <c r="I68" t="s">
        <v>3</v>
      </c>
      <c r="J68">
        <v>67</v>
      </c>
      <c r="K68" t="s">
        <v>27</v>
      </c>
      <c r="N68" t="s">
        <v>92</v>
      </c>
      <c r="O68">
        <v>7.4966564</v>
      </c>
      <c r="AD68" t="s">
        <v>25</v>
      </c>
      <c r="AE68">
        <v>-3.0817000000000001</v>
      </c>
      <c r="AF68">
        <v>-2.8172999999999999</v>
      </c>
      <c r="AG68">
        <v>-1.2392000000000001</v>
      </c>
    </row>
    <row r="69" spans="1:52" x14ac:dyDescent="0.2">
      <c r="A69">
        <v>190</v>
      </c>
      <c r="B69" t="s">
        <v>29</v>
      </c>
      <c r="C69" t="s">
        <v>3</v>
      </c>
      <c r="D69">
        <v>72</v>
      </c>
      <c r="E69" t="s">
        <v>27</v>
      </c>
      <c r="G69">
        <v>190</v>
      </c>
      <c r="H69" t="s">
        <v>29</v>
      </c>
      <c r="I69" t="s">
        <v>3</v>
      </c>
      <c r="J69">
        <v>72</v>
      </c>
      <c r="K69" t="s">
        <v>27</v>
      </c>
      <c r="N69" t="s">
        <v>93</v>
      </c>
      <c r="O69">
        <v>1.2161183</v>
      </c>
      <c r="U69" t="s">
        <v>107</v>
      </c>
      <c r="AD69" t="s">
        <v>35</v>
      </c>
      <c r="AE69">
        <v>-2.8172999999999999</v>
      </c>
      <c r="AF69">
        <v>-3.0181</v>
      </c>
      <c r="AG69">
        <v>-1.4374</v>
      </c>
    </row>
    <row r="70" spans="1:52" x14ac:dyDescent="0.2">
      <c r="A70">
        <v>192</v>
      </c>
      <c r="B70" t="s">
        <v>29</v>
      </c>
      <c r="C70" t="s">
        <v>3</v>
      </c>
      <c r="D70">
        <v>68</v>
      </c>
      <c r="E70" t="s">
        <v>33</v>
      </c>
      <c r="G70">
        <v>192</v>
      </c>
      <c r="H70" t="s">
        <v>29</v>
      </c>
      <c r="I70" t="s">
        <v>3</v>
      </c>
      <c r="J70">
        <v>68</v>
      </c>
      <c r="K70" t="s">
        <v>33</v>
      </c>
      <c r="N70" t="s">
        <v>94</v>
      </c>
      <c r="O70">
        <v>71.016721000000004</v>
      </c>
      <c r="U70">
        <v>2</v>
      </c>
      <c r="AD70" t="s">
        <v>29</v>
      </c>
      <c r="AE70">
        <v>-1.2392000000000001</v>
      </c>
      <c r="AF70">
        <v>-1.4374</v>
      </c>
      <c r="AG70">
        <v>-2.5434000000000001</v>
      </c>
    </row>
    <row r="71" spans="1:52" x14ac:dyDescent="0.2">
      <c r="A71">
        <v>193</v>
      </c>
      <c r="B71" t="s">
        <v>25</v>
      </c>
      <c r="C71" t="s">
        <v>3</v>
      </c>
      <c r="D71">
        <v>65</v>
      </c>
      <c r="E71" t="s">
        <v>33</v>
      </c>
      <c r="G71">
        <v>193</v>
      </c>
      <c r="H71" t="s">
        <v>25</v>
      </c>
      <c r="I71" t="s">
        <v>3</v>
      </c>
      <c r="J71">
        <v>65</v>
      </c>
      <c r="K71" t="s">
        <v>33</v>
      </c>
      <c r="N71" t="s">
        <v>95</v>
      </c>
      <c r="O71">
        <v>66.088542000000004</v>
      </c>
    </row>
    <row r="72" spans="1:52" x14ac:dyDescent="0.2">
      <c r="A72">
        <v>194</v>
      </c>
      <c r="B72" t="s">
        <v>29</v>
      </c>
      <c r="C72" t="s">
        <v>2</v>
      </c>
      <c r="D72">
        <v>71</v>
      </c>
      <c r="E72" t="s">
        <v>33</v>
      </c>
      <c r="G72">
        <v>194</v>
      </c>
      <c r="H72" t="s">
        <v>29</v>
      </c>
      <c r="I72" t="s">
        <v>2</v>
      </c>
      <c r="J72">
        <v>71</v>
      </c>
      <c r="K72" t="s">
        <v>33</v>
      </c>
      <c r="N72" t="s">
        <v>96</v>
      </c>
      <c r="O72">
        <v>38</v>
      </c>
      <c r="AY72" t="s">
        <v>103</v>
      </c>
    </row>
    <row r="73" spans="1:52" x14ac:dyDescent="0.2">
      <c r="A73">
        <v>195</v>
      </c>
      <c r="B73" t="s">
        <v>29</v>
      </c>
      <c r="C73" t="s">
        <v>3</v>
      </c>
      <c r="D73">
        <v>76</v>
      </c>
      <c r="E73" t="s">
        <v>33</v>
      </c>
      <c r="G73">
        <v>195</v>
      </c>
      <c r="H73" t="s">
        <v>29</v>
      </c>
      <c r="I73" t="s">
        <v>3</v>
      </c>
      <c r="J73">
        <v>76</v>
      </c>
      <c r="K73" t="s">
        <v>33</v>
      </c>
      <c r="U73" t="s">
        <v>108</v>
      </c>
      <c r="AD73" t="s">
        <v>171</v>
      </c>
    </row>
    <row r="74" spans="1:52" x14ac:dyDescent="0.2">
      <c r="A74">
        <v>199</v>
      </c>
      <c r="B74" t="s">
        <v>29</v>
      </c>
      <c r="C74" t="s">
        <v>2</v>
      </c>
      <c r="D74">
        <v>69</v>
      </c>
      <c r="E74" t="s">
        <v>33</v>
      </c>
      <c r="G74">
        <v>199</v>
      </c>
      <c r="H74" t="s">
        <v>29</v>
      </c>
      <c r="I74" t="s">
        <v>2</v>
      </c>
      <c r="J74">
        <v>69</v>
      </c>
      <c r="K74" t="s">
        <v>33</v>
      </c>
      <c r="N74" t="s">
        <v>97</v>
      </c>
      <c r="U74" t="s">
        <v>109</v>
      </c>
    </row>
    <row r="75" spans="1:52" x14ac:dyDescent="0.2">
      <c r="A75">
        <v>201</v>
      </c>
      <c r="B75" t="s">
        <v>29</v>
      </c>
      <c r="C75" t="s">
        <v>3</v>
      </c>
      <c r="D75">
        <v>77</v>
      </c>
      <c r="E75" t="s">
        <v>27</v>
      </c>
      <c r="G75">
        <v>201</v>
      </c>
      <c r="H75" t="s">
        <v>29</v>
      </c>
      <c r="I75" t="s">
        <v>3</v>
      </c>
      <c r="J75">
        <v>77</v>
      </c>
      <c r="K75" t="s">
        <v>27</v>
      </c>
      <c r="N75" t="s">
        <v>98</v>
      </c>
      <c r="AY75" t="s">
        <v>55</v>
      </c>
    </row>
    <row r="76" spans="1:52" x14ac:dyDescent="0.2">
      <c r="A76">
        <v>202</v>
      </c>
      <c r="B76" t="s">
        <v>35</v>
      </c>
      <c r="C76" t="s">
        <v>2</v>
      </c>
      <c r="D76">
        <v>76</v>
      </c>
      <c r="E76" t="s">
        <v>27</v>
      </c>
      <c r="G76">
        <v>202</v>
      </c>
      <c r="H76" t="s">
        <v>35</v>
      </c>
      <c r="I76" t="s">
        <v>2</v>
      </c>
      <c r="J76">
        <v>76</v>
      </c>
      <c r="K76" t="s">
        <v>27</v>
      </c>
      <c r="N76" t="s">
        <v>99</v>
      </c>
      <c r="U76" t="s">
        <v>110</v>
      </c>
    </row>
    <row r="77" spans="1:52" x14ac:dyDescent="0.2">
      <c r="A77">
        <v>205</v>
      </c>
      <c r="B77" t="s">
        <v>25</v>
      </c>
      <c r="C77" t="s">
        <v>2</v>
      </c>
      <c r="D77">
        <v>75</v>
      </c>
      <c r="E77" t="s">
        <v>33</v>
      </c>
      <c r="G77">
        <v>205</v>
      </c>
      <c r="H77" t="s">
        <v>25</v>
      </c>
      <c r="I77" t="s">
        <v>2</v>
      </c>
      <c r="J77">
        <v>75</v>
      </c>
      <c r="K77" t="s">
        <v>33</v>
      </c>
      <c r="N77" t="s">
        <v>35</v>
      </c>
      <c r="O77" t="s">
        <v>91</v>
      </c>
      <c r="P77" t="s">
        <v>100</v>
      </c>
      <c r="AD77" t="s">
        <v>172</v>
      </c>
    </row>
    <row r="78" spans="1:52" x14ac:dyDescent="0.2">
      <c r="A78">
        <v>208</v>
      </c>
      <c r="B78" t="s">
        <v>29</v>
      </c>
      <c r="C78" t="s">
        <v>3</v>
      </c>
      <c r="D78">
        <v>72</v>
      </c>
      <c r="E78" t="s">
        <v>33</v>
      </c>
      <c r="G78">
        <v>208</v>
      </c>
      <c r="H78" t="s">
        <v>29</v>
      </c>
      <c r="I78" t="s">
        <v>3</v>
      </c>
      <c r="J78">
        <v>72</v>
      </c>
      <c r="K78" t="s">
        <v>33</v>
      </c>
      <c r="N78">
        <v>0.96257899999999996</v>
      </c>
      <c r="O78" t="s">
        <v>91</v>
      </c>
      <c r="P78">
        <v>0.23</v>
      </c>
    </row>
    <row r="79" spans="1:52" x14ac:dyDescent="0.2">
      <c r="A79">
        <v>209</v>
      </c>
      <c r="B79" t="s">
        <v>25</v>
      </c>
      <c r="C79" t="s">
        <v>3</v>
      </c>
      <c r="D79">
        <v>62</v>
      </c>
      <c r="E79" t="s">
        <v>33</v>
      </c>
      <c r="G79">
        <v>209</v>
      </c>
      <c r="H79" t="s">
        <v>25</v>
      </c>
      <c r="I79" t="s">
        <v>3</v>
      </c>
      <c r="J79">
        <v>62</v>
      </c>
      <c r="K79" t="s">
        <v>33</v>
      </c>
      <c r="U79" t="s">
        <v>91</v>
      </c>
      <c r="V79" t="s">
        <v>91</v>
      </c>
      <c r="W79" t="s">
        <v>91</v>
      </c>
      <c r="X79" t="s">
        <v>91</v>
      </c>
    </row>
    <row r="80" spans="1:52" x14ac:dyDescent="0.2">
      <c r="A80">
        <v>211</v>
      </c>
      <c r="B80" t="s">
        <v>29</v>
      </c>
      <c r="C80" t="s">
        <v>3</v>
      </c>
      <c r="D80">
        <v>64</v>
      </c>
      <c r="E80" t="s">
        <v>27</v>
      </c>
      <c r="G80">
        <v>211</v>
      </c>
      <c r="H80" t="s">
        <v>29</v>
      </c>
      <c r="I80" t="s">
        <v>3</v>
      </c>
      <c r="J80">
        <v>64</v>
      </c>
      <c r="K80" t="s">
        <v>27</v>
      </c>
      <c r="U80" t="s">
        <v>111</v>
      </c>
      <c r="V80">
        <v>2.4308999999999998</v>
      </c>
      <c r="W80" t="s">
        <v>112</v>
      </c>
      <c r="X80">
        <v>1.4379789999999999</v>
      </c>
      <c r="AD80" t="s">
        <v>158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69</v>
      </c>
    </row>
    <row r="81" spans="1:52" x14ac:dyDescent="0.2">
      <c r="A81">
        <v>212</v>
      </c>
      <c r="B81" t="s">
        <v>25</v>
      </c>
      <c r="C81" t="s">
        <v>2</v>
      </c>
      <c r="D81">
        <v>50</v>
      </c>
      <c r="E81" t="s">
        <v>27</v>
      </c>
      <c r="G81">
        <v>212</v>
      </c>
      <c r="H81" t="s">
        <v>25</v>
      </c>
      <c r="I81" t="s">
        <v>2</v>
      </c>
      <c r="K81" t="s">
        <v>27</v>
      </c>
      <c r="N81" t="s">
        <v>102</v>
      </c>
      <c r="U81" t="s">
        <v>113</v>
      </c>
      <c r="V81">
        <v>1.6904999999999999</v>
      </c>
      <c r="W81" t="s">
        <v>114</v>
      </c>
      <c r="X81">
        <v>44.995170000000002</v>
      </c>
      <c r="AD81" t="s">
        <v>25</v>
      </c>
      <c r="AE81" t="s">
        <v>173</v>
      </c>
      <c r="AK81">
        <v>70.702128000000002</v>
      </c>
      <c r="AY81" t="s">
        <v>90</v>
      </c>
    </row>
    <row r="82" spans="1:52" x14ac:dyDescent="0.2">
      <c r="A82">
        <v>213</v>
      </c>
      <c r="B82" t="s">
        <v>29</v>
      </c>
      <c r="C82" t="s">
        <v>3</v>
      </c>
      <c r="D82">
        <v>72</v>
      </c>
      <c r="E82" t="s">
        <v>33</v>
      </c>
      <c r="G82">
        <v>213</v>
      </c>
      <c r="H82" t="s">
        <v>29</v>
      </c>
      <c r="I82" t="s">
        <v>3</v>
      </c>
      <c r="J82">
        <v>72</v>
      </c>
      <c r="K82" t="s">
        <v>33</v>
      </c>
      <c r="N82" t="s">
        <v>55</v>
      </c>
      <c r="U82" t="s">
        <v>115</v>
      </c>
      <c r="V82">
        <v>5.8357999999999999</v>
      </c>
      <c r="W82" t="s">
        <v>116</v>
      </c>
      <c r="X82">
        <v>0.15740000000000001</v>
      </c>
      <c r="AD82" t="s">
        <v>35</v>
      </c>
      <c r="AE82" t="s">
        <v>173</v>
      </c>
      <c r="AK82">
        <v>70.469387999999995</v>
      </c>
    </row>
    <row r="83" spans="1:52" x14ac:dyDescent="0.2">
      <c r="A83">
        <v>216</v>
      </c>
      <c r="B83" t="s">
        <v>35</v>
      </c>
      <c r="C83" t="s">
        <v>3</v>
      </c>
      <c r="D83">
        <v>67</v>
      </c>
      <c r="E83" t="s">
        <v>27</v>
      </c>
      <c r="G83">
        <v>216</v>
      </c>
      <c r="H83" t="s">
        <v>35</v>
      </c>
      <c r="I83" t="s">
        <v>3</v>
      </c>
      <c r="J83">
        <v>67</v>
      </c>
      <c r="K83" t="s">
        <v>27</v>
      </c>
      <c r="N83" t="s">
        <v>132</v>
      </c>
      <c r="U83" t="s">
        <v>117</v>
      </c>
      <c r="V83">
        <v>-0.97399999999999998</v>
      </c>
      <c r="W83" t="s">
        <v>118</v>
      </c>
      <c r="X83">
        <v>7.8700000000000006E-2</v>
      </c>
      <c r="AD83" t="s">
        <v>29</v>
      </c>
      <c r="AE83" t="s">
        <v>173</v>
      </c>
      <c r="AK83">
        <v>69.115942000000004</v>
      </c>
      <c r="AY83" t="s">
        <v>91</v>
      </c>
      <c r="AZ83" t="s">
        <v>91</v>
      </c>
    </row>
    <row r="84" spans="1:52" x14ac:dyDescent="0.2">
      <c r="A84">
        <v>217</v>
      </c>
      <c r="B84" t="s">
        <v>25</v>
      </c>
      <c r="C84" t="s">
        <v>2</v>
      </c>
      <c r="D84">
        <v>73</v>
      </c>
      <c r="E84" t="s">
        <v>33</v>
      </c>
      <c r="G84">
        <v>217</v>
      </c>
      <c r="H84" t="s">
        <v>25</v>
      </c>
      <c r="I84" t="s">
        <v>2</v>
      </c>
      <c r="J84">
        <v>73</v>
      </c>
      <c r="K84" t="s">
        <v>33</v>
      </c>
      <c r="U84" t="s">
        <v>119</v>
      </c>
      <c r="V84">
        <v>0.95</v>
      </c>
      <c r="W84" t="s">
        <v>120</v>
      </c>
      <c r="X84" s="23">
        <v>0.92130000000000001</v>
      </c>
      <c r="AY84" t="s">
        <v>69</v>
      </c>
      <c r="AZ84">
        <v>70.769231000000005</v>
      </c>
    </row>
    <row r="85" spans="1:52" x14ac:dyDescent="0.2">
      <c r="A85">
        <v>218</v>
      </c>
      <c r="B85" t="s">
        <v>29</v>
      </c>
      <c r="C85" t="s">
        <v>3</v>
      </c>
      <c r="D85">
        <v>82</v>
      </c>
      <c r="E85" t="s">
        <v>33</v>
      </c>
      <c r="G85">
        <v>218</v>
      </c>
      <c r="H85" t="s">
        <v>29</v>
      </c>
      <c r="I85" t="s">
        <v>3</v>
      </c>
      <c r="J85">
        <v>82</v>
      </c>
      <c r="K85" t="s">
        <v>33</v>
      </c>
      <c r="N85" t="s">
        <v>90</v>
      </c>
      <c r="AY85" t="s">
        <v>92</v>
      </c>
      <c r="AZ85">
        <v>8.1697378</v>
      </c>
    </row>
    <row r="86" spans="1:52" x14ac:dyDescent="0.2">
      <c r="A86">
        <v>219</v>
      </c>
      <c r="B86" t="s">
        <v>29</v>
      </c>
      <c r="C86" t="s">
        <v>2</v>
      </c>
      <c r="D86">
        <v>69</v>
      </c>
      <c r="E86" t="s">
        <v>33</v>
      </c>
      <c r="G86">
        <v>219</v>
      </c>
      <c r="H86" t="s">
        <v>29</v>
      </c>
      <c r="I86" t="s">
        <v>2</v>
      </c>
      <c r="J86">
        <v>69</v>
      </c>
      <c r="K86" t="s">
        <v>33</v>
      </c>
      <c r="N86" t="s">
        <v>69</v>
      </c>
      <c r="O86">
        <v>69.409091000000004</v>
      </c>
      <c r="AD86" t="s">
        <v>174</v>
      </c>
      <c r="AY86" t="s">
        <v>93</v>
      </c>
      <c r="AZ86">
        <v>1.6022174</v>
      </c>
    </row>
    <row r="87" spans="1:52" x14ac:dyDescent="0.2">
      <c r="A87">
        <v>220</v>
      </c>
      <c r="B87" t="s">
        <v>25</v>
      </c>
      <c r="C87" t="s">
        <v>2</v>
      </c>
      <c r="D87">
        <v>73</v>
      </c>
      <c r="E87" t="s">
        <v>27</v>
      </c>
      <c r="G87">
        <v>220</v>
      </c>
      <c r="H87" t="s">
        <v>25</v>
      </c>
      <c r="I87" t="s">
        <v>2</v>
      </c>
      <c r="J87">
        <v>73</v>
      </c>
      <c r="K87" t="s">
        <v>27</v>
      </c>
      <c r="N87" t="s">
        <v>92</v>
      </c>
      <c r="O87">
        <v>5.3865714000000002</v>
      </c>
      <c r="AY87" t="s">
        <v>94</v>
      </c>
      <c r="AZ87">
        <v>74.069058999999996</v>
      </c>
    </row>
    <row r="88" spans="1:52" x14ac:dyDescent="0.2">
      <c r="A88">
        <v>224</v>
      </c>
      <c r="B88" t="s">
        <v>25</v>
      </c>
      <c r="C88" t="s">
        <v>2</v>
      </c>
      <c r="D88">
        <v>79</v>
      </c>
      <c r="E88" t="s">
        <v>27</v>
      </c>
      <c r="G88">
        <v>224</v>
      </c>
      <c r="H88" t="s">
        <v>25</v>
      </c>
      <c r="I88" t="s">
        <v>2</v>
      </c>
      <c r="J88">
        <v>79</v>
      </c>
      <c r="K88" t="s">
        <v>27</v>
      </c>
      <c r="N88" t="s">
        <v>93</v>
      </c>
      <c r="O88">
        <v>1.1484209000000001</v>
      </c>
      <c r="U88" t="s">
        <v>5</v>
      </c>
      <c r="AY88" t="s">
        <v>95</v>
      </c>
      <c r="AZ88">
        <v>67.469402000000002</v>
      </c>
    </row>
    <row r="89" spans="1:52" x14ac:dyDescent="0.2">
      <c r="A89">
        <v>225</v>
      </c>
      <c r="B89" t="s">
        <v>29</v>
      </c>
      <c r="C89" t="s">
        <v>3</v>
      </c>
      <c r="D89">
        <v>75</v>
      </c>
      <c r="E89" t="s">
        <v>33</v>
      </c>
      <c r="G89">
        <v>225</v>
      </c>
      <c r="H89" t="s">
        <v>29</v>
      </c>
      <c r="I89" t="s">
        <v>3</v>
      </c>
      <c r="J89">
        <v>75</v>
      </c>
      <c r="K89" t="s">
        <v>33</v>
      </c>
      <c r="N89" t="s">
        <v>94</v>
      </c>
      <c r="O89">
        <v>71.797363000000004</v>
      </c>
      <c r="U89" t="s">
        <v>139</v>
      </c>
      <c r="AY89" t="s">
        <v>96</v>
      </c>
      <c r="AZ89">
        <v>26</v>
      </c>
    </row>
    <row r="90" spans="1:52" x14ac:dyDescent="0.2">
      <c r="A90">
        <v>229</v>
      </c>
      <c r="B90" t="s">
        <v>29</v>
      </c>
      <c r="C90" t="s">
        <v>2</v>
      </c>
      <c r="D90">
        <v>82</v>
      </c>
      <c r="E90" t="s">
        <v>27</v>
      </c>
      <c r="G90">
        <v>229</v>
      </c>
      <c r="H90" t="s">
        <v>29</v>
      </c>
      <c r="I90" t="s">
        <v>2</v>
      </c>
      <c r="J90">
        <v>82</v>
      </c>
      <c r="K90" t="s">
        <v>27</v>
      </c>
      <c r="N90" t="s">
        <v>95</v>
      </c>
      <c r="O90">
        <v>67.020819000000003</v>
      </c>
      <c r="AD90" t="s">
        <v>175</v>
      </c>
    </row>
    <row r="91" spans="1:52" x14ac:dyDescent="0.2">
      <c r="A91">
        <v>230</v>
      </c>
      <c r="B91" t="s">
        <v>29</v>
      </c>
      <c r="C91" t="s">
        <v>3</v>
      </c>
      <c r="D91">
        <v>71</v>
      </c>
      <c r="E91" t="s">
        <v>33</v>
      </c>
      <c r="G91">
        <v>230</v>
      </c>
      <c r="H91" t="s">
        <v>29</v>
      </c>
      <c r="I91" t="s">
        <v>3</v>
      </c>
      <c r="J91">
        <v>71</v>
      </c>
      <c r="K91" t="s">
        <v>33</v>
      </c>
      <c r="N91" t="s">
        <v>96</v>
      </c>
      <c r="O91">
        <v>22</v>
      </c>
      <c r="U91" t="s">
        <v>107</v>
      </c>
    </row>
    <row r="92" spans="1:52" x14ac:dyDescent="0.2">
      <c r="A92">
        <v>233</v>
      </c>
      <c r="B92" t="s">
        <v>35</v>
      </c>
      <c r="C92" t="s">
        <v>3</v>
      </c>
      <c r="D92">
        <v>72</v>
      </c>
      <c r="E92" t="s">
        <v>27</v>
      </c>
      <c r="G92">
        <v>233</v>
      </c>
      <c r="H92" t="s">
        <v>35</v>
      </c>
      <c r="I92" t="s">
        <v>3</v>
      </c>
      <c r="J92">
        <v>72</v>
      </c>
      <c r="K92" t="s">
        <v>27</v>
      </c>
      <c r="U92">
        <v>3</v>
      </c>
      <c r="AD92" t="s">
        <v>158</v>
      </c>
      <c r="AE92" t="s">
        <v>176</v>
      </c>
      <c r="AF92" t="s">
        <v>111</v>
      </c>
      <c r="AG92" t="s">
        <v>113</v>
      </c>
      <c r="AH92" t="s">
        <v>177</v>
      </c>
      <c r="AI92" t="s">
        <v>178</v>
      </c>
      <c r="AJ92" t="s">
        <v>179</v>
      </c>
      <c r="AK92" t="s">
        <v>180</v>
      </c>
    </row>
    <row r="93" spans="1:52" x14ac:dyDescent="0.2">
      <c r="A93" s="10">
        <v>234</v>
      </c>
      <c r="B93" s="10" t="s">
        <v>29</v>
      </c>
      <c r="C93" s="10" t="s">
        <v>3</v>
      </c>
      <c r="D93">
        <v>75</v>
      </c>
      <c r="E93" s="10" t="s">
        <v>33</v>
      </c>
      <c r="G93">
        <v>234</v>
      </c>
      <c r="H93" t="s">
        <v>29</v>
      </c>
      <c r="I93" t="s">
        <v>3</v>
      </c>
      <c r="J93">
        <v>75</v>
      </c>
      <c r="K93" s="10" t="s">
        <v>33</v>
      </c>
      <c r="L93" s="10"/>
      <c r="N93" t="s">
        <v>97</v>
      </c>
      <c r="O93" t="s">
        <v>91</v>
      </c>
      <c r="AD93" t="s">
        <v>25</v>
      </c>
      <c r="AE93" t="s">
        <v>29</v>
      </c>
      <c r="AF93">
        <v>1.5861860000000001</v>
      </c>
      <c r="AG93">
        <v>1.1944049999999999</v>
      </c>
      <c r="AH93">
        <v>-1.2391799999999999</v>
      </c>
      <c r="AI93">
        <v>4.4115469999999997</v>
      </c>
      <c r="AJ93">
        <v>0.38169999999999998</v>
      </c>
      <c r="AK93" t="s">
        <v>261</v>
      </c>
    </row>
    <row r="94" spans="1:52" x14ac:dyDescent="0.2">
      <c r="A94">
        <v>235</v>
      </c>
      <c r="B94" t="s">
        <v>35</v>
      </c>
      <c r="C94" t="s">
        <v>3</v>
      </c>
      <c r="D94">
        <v>69</v>
      </c>
      <c r="E94" t="s">
        <v>27</v>
      </c>
      <c r="G94">
        <v>235</v>
      </c>
      <c r="H94" t="s">
        <v>35</v>
      </c>
      <c r="I94" t="s">
        <v>3</v>
      </c>
      <c r="J94">
        <v>69</v>
      </c>
      <c r="K94" t="s">
        <v>27</v>
      </c>
      <c r="N94" t="s">
        <v>98</v>
      </c>
      <c r="AD94" t="s">
        <v>35</v>
      </c>
      <c r="AE94" t="s">
        <v>29</v>
      </c>
      <c r="AF94">
        <v>1.3534459999999999</v>
      </c>
      <c r="AG94">
        <v>1.179816</v>
      </c>
      <c r="AH94">
        <v>-1.4374100000000001</v>
      </c>
      <c r="AI94">
        <v>4.144298</v>
      </c>
      <c r="AJ94">
        <v>0.48659999999999998</v>
      </c>
      <c r="AK94" t="s">
        <v>261</v>
      </c>
      <c r="AY94" t="s">
        <v>104</v>
      </c>
    </row>
    <row r="95" spans="1:52" x14ac:dyDescent="0.2">
      <c r="A95">
        <v>236</v>
      </c>
      <c r="B95" t="s">
        <v>35</v>
      </c>
      <c r="C95" t="s">
        <v>3</v>
      </c>
      <c r="D95">
        <v>75</v>
      </c>
      <c r="E95" t="s">
        <v>27</v>
      </c>
      <c r="G95">
        <v>236</v>
      </c>
      <c r="H95" t="s">
        <v>35</v>
      </c>
      <c r="I95" t="s">
        <v>3</v>
      </c>
      <c r="J95">
        <v>75</v>
      </c>
      <c r="K95" t="s">
        <v>27</v>
      </c>
      <c r="N95" t="s">
        <v>99</v>
      </c>
      <c r="U95" t="s">
        <v>108</v>
      </c>
      <c r="AD95" t="s">
        <v>25</v>
      </c>
      <c r="AE95" t="s">
        <v>35</v>
      </c>
      <c r="AF95">
        <v>0.23274</v>
      </c>
      <c r="AG95">
        <v>1.289391</v>
      </c>
      <c r="AH95">
        <v>-2.81731</v>
      </c>
      <c r="AI95">
        <v>3.282791</v>
      </c>
      <c r="AJ95">
        <v>0.98219999999999996</v>
      </c>
      <c r="AK95" t="s">
        <v>262</v>
      </c>
    </row>
    <row r="96" spans="1:52" x14ac:dyDescent="0.2">
      <c r="A96">
        <v>244</v>
      </c>
      <c r="B96" t="s">
        <v>29</v>
      </c>
      <c r="C96" t="s">
        <v>3</v>
      </c>
      <c r="D96">
        <v>75</v>
      </c>
      <c r="E96" t="s">
        <v>33</v>
      </c>
      <c r="G96">
        <v>244</v>
      </c>
      <c r="H96" t="s">
        <v>29</v>
      </c>
      <c r="I96" t="s">
        <v>3</v>
      </c>
      <c r="J96">
        <v>75</v>
      </c>
      <c r="K96" t="s">
        <v>33</v>
      </c>
      <c r="N96" t="s">
        <v>35</v>
      </c>
      <c r="O96" t="s">
        <v>91</v>
      </c>
      <c r="P96" t="s">
        <v>100</v>
      </c>
      <c r="U96" t="s">
        <v>109</v>
      </c>
    </row>
    <row r="97" spans="1:52" x14ac:dyDescent="0.2">
      <c r="A97">
        <v>245</v>
      </c>
      <c r="B97" t="s">
        <v>25</v>
      </c>
      <c r="C97" t="s">
        <v>3</v>
      </c>
      <c r="D97">
        <v>71</v>
      </c>
      <c r="E97" t="s">
        <v>27</v>
      </c>
      <c r="G97">
        <v>245</v>
      </c>
      <c r="H97" t="s">
        <v>25</v>
      </c>
      <c r="I97" t="s">
        <v>3</v>
      </c>
      <c r="J97">
        <v>71</v>
      </c>
      <c r="K97" t="s">
        <v>27</v>
      </c>
      <c r="N97">
        <v>0.93817200000000001</v>
      </c>
      <c r="O97" t="s">
        <v>91</v>
      </c>
      <c r="P97">
        <v>0.18140000000000001</v>
      </c>
      <c r="AY97" t="s">
        <v>55</v>
      </c>
    </row>
    <row r="98" spans="1:52" x14ac:dyDescent="0.2">
      <c r="A98">
        <v>248</v>
      </c>
      <c r="B98" t="s">
        <v>29</v>
      </c>
      <c r="C98" t="s">
        <v>3</v>
      </c>
      <c r="D98">
        <v>76</v>
      </c>
      <c r="E98" t="s">
        <v>33</v>
      </c>
      <c r="G98">
        <v>248</v>
      </c>
      <c r="H98" t="s">
        <v>29</v>
      </c>
      <c r="I98" t="s">
        <v>3</v>
      </c>
      <c r="J98">
        <v>76</v>
      </c>
      <c r="K98" t="s">
        <v>33</v>
      </c>
      <c r="U98" t="s">
        <v>110</v>
      </c>
    </row>
    <row r="99" spans="1:52" x14ac:dyDescent="0.2">
      <c r="A99">
        <v>251</v>
      </c>
      <c r="B99" t="s">
        <v>29</v>
      </c>
      <c r="C99" t="s">
        <v>2</v>
      </c>
      <c r="D99">
        <v>66</v>
      </c>
      <c r="E99" t="s">
        <v>33</v>
      </c>
      <c r="G99">
        <v>251</v>
      </c>
      <c r="H99" t="s">
        <v>29</v>
      </c>
      <c r="I99" t="s">
        <v>2</v>
      </c>
      <c r="J99">
        <v>66</v>
      </c>
      <c r="K99" t="s">
        <v>33</v>
      </c>
    </row>
    <row r="100" spans="1:52" x14ac:dyDescent="0.2">
      <c r="A100">
        <v>252</v>
      </c>
      <c r="B100" t="s">
        <v>35</v>
      </c>
      <c r="C100" t="s">
        <v>2</v>
      </c>
      <c r="D100">
        <v>70</v>
      </c>
      <c r="E100" t="s">
        <v>27</v>
      </c>
      <c r="G100">
        <v>252</v>
      </c>
      <c r="H100" t="s">
        <v>35</v>
      </c>
      <c r="I100" t="s">
        <v>2</v>
      </c>
      <c r="J100">
        <v>70</v>
      </c>
      <c r="K100" t="s">
        <v>27</v>
      </c>
      <c r="N100" t="s">
        <v>103</v>
      </c>
    </row>
    <row r="101" spans="1:52" x14ac:dyDescent="0.2">
      <c r="A101">
        <v>253</v>
      </c>
      <c r="B101" t="s">
        <v>35</v>
      </c>
      <c r="C101" t="s">
        <v>2</v>
      </c>
      <c r="D101">
        <v>63</v>
      </c>
      <c r="E101" t="s">
        <v>27</v>
      </c>
      <c r="G101">
        <v>253</v>
      </c>
      <c r="H101" t="s">
        <v>35</v>
      </c>
      <c r="I101" t="s">
        <v>2</v>
      </c>
      <c r="J101">
        <v>63</v>
      </c>
      <c r="K101" t="s">
        <v>27</v>
      </c>
      <c r="N101" t="s">
        <v>55</v>
      </c>
      <c r="U101" t="s">
        <v>91</v>
      </c>
      <c r="V101" t="s">
        <v>91</v>
      </c>
      <c r="W101" t="s">
        <v>91</v>
      </c>
      <c r="X101" t="s">
        <v>91</v>
      </c>
    </row>
    <row r="102" spans="1:52" x14ac:dyDescent="0.2">
      <c r="A102">
        <v>261</v>
      </c>
      <c r="B102" t="s">
        <v>25</v>
      </c>
      <c r="C102" t="s">
        <v>2</v>
      </c>
      <c r="D102">
        <v>68</v>
      </c>
      <c r="E102" t="s">
        <v>27</v>
      </c>
      <c r="G102">
        <v>261</v>
      </c>
      <c r="H102" t="s">
        <v>25</v>
      </c>
      <c r="I102" t="s">
        <v>2</v>
      </c>
      <c r="J102">
        <v>68</v>
      </c>
      <c r="K102" t="s">
        <v>27</v>
      </c>
      <c r="N102" t="s">
        <v>133</v>
      </c>
      <c r="U102" t="s">
        <v>111</v>
      </c>
      <c r="V102">
        <v>0.80269999999999997</v>
      </c>
      <c r="W102" t="s">
        <v>112</v>
      </c>
      <c r="X102">
        <v>0.50234500000000004</v>
      </c>
    </row>
    <row r="103" spans="1:52" x14ac:dyDescent="0.2">
      <c r="A103">
        <v>262</v>
      </c>
      <c r="B103" t="s">
        <v>35</v>
      </c>
      <c r="C103" t="s">
        <v>3</v>
      </c>
      <c r="D103" s="23">
        <v>48</v>
      </c>
      <c r="E103" t="s">
        <v>27</v>
      </c>
      <c r="G103">
        <v>262</v>
      </c>
      <c r="H103" t="s">
        <v>35</v>
      </c>
      <c r="I103" t="s">
        <v>3</v>
      </c>
      <c r="K103" t="s">
        <v>27</v>
      </c>
      <c r="U103" t="s">
        <v>113</v>
      </c>
      <c r="V103">
        <v>1.5979000000000001</v>
      </c>
      <c r="W103" t="s">
        <v>114</v>
      </c>
      <c r="X103">
        <v>46.13552</v>
      </c>
      <c r="AY103" t="s">
        <v>90</v>
      </c>
    </row>
    <row r="104" spans="1:52" x14ac:dyDescent="0.2">
      <c r="A104">
        <v>265</v>
      </c>
      <c r="B104" t="s">
        <v>25</v>
      </c>
      <c r="C104" t="s">
        <v>3</v>
      </c>
      <c r="D104">
        <v>62</v>
      </c>
      <c r="E104" t="s">
        <v>33</v>
      </c>
      <c r="G104">
        <v>265</v>
      </c>
      <c r="H104" t="s">
        <v>25</v>
      </c>
      <c r="I104" t="s">
        <v>3</v>
      </c>
      <c r="J104">
        <v>62</v>
      </c>
      <c r="K104" t="s">
        <v>33</v>
      </c>
      <c r="N104" t="s">
        <v>90</v>
      </c>
      <c r="U104" t="s">
        <v>115</v>
      </c>
      <c r="V104">
        <v>4.0186999999999999</v>
      </c>
      <c r="W104" t="s">
        <v>116</v>
      </c>
      <c r="X104">
        <v>0.61780000000000002</v>
      </c>
    </row>
    <row r="105" spans="1:52" x14ac:dyDescent="0.2">
      <c r="A105">
        <v>266</v>
      </c>
      <c r="B105" t="s">
        <v>25</v>
      </c>
      <c r="C105" t="s">
        <v>2</v>
      </c>
      <c r="D105">
        <v>78</v>
      </c>
      <c r="E105" t="s">
        <v>33</v>
      </c>
      <c r="G105">
        <v>266</v>
      </c>
      <c r="H105" t="s">
        <v>25</v>
      </c>
      <c r="I105" t="s">
        <v>2</v>
      </c>
      <c r="J105">
        <v>78</v>
      </c>
      <c r="K105" t="s">
        <v>33</v>
      </c>
      <c r="N105" t="s">
        <v>69</v>
      </c>
      <c r="O105">
        <v>71.84</v>
      </c>
      <c r="U105" t="s">
        <v>117</v>
      </c>
      <c r="V105">
        <v>-2.4134000000000002</v>
      </c>
      <c r="W105" t="s">
        <v>118</v>
      </c>
      <c r="X105">
        <v>0.30890000000000001</v>
      </c>
      <c r="AY105" t="s">
        <v>91</v>
      </c>
      <c r="AZ105" t="s">
        <v>91</v>
      </c>
    </row>
    <row r="106" spans="1:52" x14ac:dyDescent="0.2">
      <c r="A106">
        <v>267</v>
      </c>
      <c r="B106" t="s">
        <v>25</v>
      </c>
      <c r="C106" t="s">
        <v>3</v>
      </c>
      <c r="D106">
        <v>79</v>
      </c>
      <c r="E106" t="s">
        <v>33</v>
      </c>
      <c r="G106">
        <v>267</v>
      </c>
      <c r="H106" t="s">
        <v>25</v>
      </c>
      <c r="I106" t="s">
        <v>3</v>
      </c>
      <c r="J106">
        <v>79</v>
      </c>
      <c r="K106" t="s">
        <v>33</v>
      </c>
      <c r="N106" t="s">
        <v>92</v>
      </c>
      <c r="O106">
        <v>6.2026876</v>
      </c>
      <c r="U106" t="s">
        <v>119</v>
      </c>
      <c r="V106">
        <v>0.95</v>
      </c>
      <c r="W106" t="s">
        <v>120</v>
      </c>
      <c r="X106" s="23">
        <v>0.69110000000000005</v>
      </c>
      <c r="AY106" t="s">
        <v>69</v>
      </c>
      <c r="AZ106">
        <v>69.041667000000004</v>
      </c>
    </row>
    <row r="107" spans="1:52" x14ac:dyDescent="0.2">
      <c r="A107">
        <v>268</v>
      </c>
      <c r="B107" t="s">
        <v>29</v>
      </c>
      <c r="C107" t="s">
        <v>2</v>
      </c>
      <c r="D107">
        <v>71</v>
      </c>
      <c r="E107" t="s">
        <v>27</v>
      </c>
      <c r="G107">
        <v>268</v>
      </c>
      <c r="H107" t="s">
        <v>29</v>
      </c>
      <c r="I107" t="s">
        <v>2</v>
      </c>
      <c r="J107">
        <v>71</v>
      </c>
      <c r="K107" t="s">
        <v>27</v>
      </c>
      <c r="N107" t="s">
        <v>93</v>
      </c>
      <c r="O107">
        <v>1.2405375000000001</v>
      </c>
      <c r="AY107" t="s">
        <v>92</v>
      </c>
      <c r="AZ107">
        <v>7.3631229999999999</v>
      </c>
    </row>
    <row r="108" spans="1:52" x14ac:dyDescent="0.2">
      <c r="A108">
        <v>269</v>
      </c>
      <c r="B108" t="s">
        <v>29</v>
      </c>
      <c r="C108" t="s">
        <v>3</v>
      </c>
      <c r="D108">
        <v>67</v>
      </c>
      <c r="E108" t="s">
        <v>33</v>
      </c>
      <c r="G108">
        <v>269</v>
      </c>
      <c r="H108" t="s">
        <v>29</v>
      </c>
      <c r="I108" t="s">
        <v>3</v>
      </c>
      <c r="J108">
        <v>67</v>
      </c>
      <c r="K108" t="s">
        <v>33</v>
      </c>
      <c r="N108" t="s">
        <v>94</v>
      </c>
      <c r="O108">
        <v>74.400344000000004</v>
      </c>
      <c r="AY108" t="s">
        <v>93</v>
      </c>
      <c r="AZ108">
        <v>1.5029912000000001</v>
      </c>
    </row>
    <row r="109" spans="1:52" x14ac:dyDescent="0.2">
      <c r="A109">
        <v>271</v>
      </c>
      <c r="B109" t="s">
        <v>35</v>
      </c>
      <c r="C109" t="s">
        <v>3</v>
      </c>
      <c r="D109">
        <v>74</v>
      </c>
      <c r="E109" t="s">
        <v>27</v>
      </c>
      <c r="G109">
        <v>271</v>
      </c>
      <c r="H109" t="s">
        <v>35</v>
      </c>
      <c r="I109" t="s">
        <v>3</v>
      </c>
      <c r="J109">
        <v>74</v>
      </c>
      <c r="K109" t="s">
        <v>27</v>
      </c>
      <c r="N109" t="s">
        <v>95</v>
      </c>
      <c r="O109">
        <v>69.279656000000003</v>
      </c>
      <c r="AY109" t="s">
        <v>94</v>
      </c>
      <c r="AZ109">
        <v>72.150841</v>
      </c>
    </row>
    <row r="110" spans="1:52" x14ac:dyDescent="0.2">
      <c r="A110">
        <v>272</v>
      </c>
      <c r="B110" t="s">
        <v>35</v>
      </c>
      <c r="C110" t="s">
        <v>2</v>
      </c>
      <c r="D110">
        <v>71</v>
      </c>
      <c r="E110" t="s">
        <v>27</v>
      </c>
      <c r="G110">
        <v>272</v>
      </c>
      <c r="H110" t="s">
        <v>35</v>
      </c>
      <c r="I110" t="s">
        <v>2</v>
      </c>
      <c r="J110">
        <v>71</v>
      </c>
      <c r="K110" t="s">
        <v>27</v>
      </c>
      <c r="N110" t="s">
        <v>96</v>
      </c>
      <c r="O110">
        <v>25</v>
      </c>
      <c r="AY110" t="s">
        <v>95</v>
      </c>
      <c r="AZ110">
        <v>65.932492999999994</v>
      </c>
    </row>
    <row r="111" spans="1:52" x14ac:dyDescent="0.2">
      <c r="A111">
        <v>273</v>
      </c>
      <c r="B111" t="s">
        <v>29</v>
      </c>
      <c r="C111" t="s">
        <v>3</v>
      </c>
      <c r="D111" s="23">
        <v>49</v>
      </c>
      <c r="E111" t="s">
        <v>33</v>
      </c>
      <c r="G111">
        <v>273</v>
      </c>
      <c r="H111" t="s">
        <v>29</v>
      </c>
      <c r="I111" t="s">
        <v>3</v>
      </c>
      <c r="J111">
        <v>49</v>
      </c>
      <c r="K111" t="s">
        <v>33</v>
      </c>
      <c r="AY111" t="s">
        <v>96</v>
      </c>
      <c r="AZ111">
        <v>24</v>
      </c>
    </row>
    <row r="112" spans="1:52" x14ac:dyDescent="0.2">
      <c r="A112">
        <v>281</v>
      </c>
      <c r="B112" t="s">
        <v>25</v>
      </c>
      <c r="C112" t="s">
        <v>2</v>
      </c>
      <c r="D112">
        <v>70</v>
      </c>
      <c r="E112" t="s">
        <v>27</v>
      </c>
      <c r="G112">
        <v>281</v>
      </c>
      <c r="H112" t="s">
        <v>25</v>
      </c>
      <c r="I112" t="s">
        <v>2</v>
      </c>
      <c r="J112">
        <v>70</v>
      </c>
      <c r="K112" t="s">
        <v>27</v>
      </c>
      <c r="N112" t="s">
        <v>97</v>
      </c>
    </row>
    <row r="113" spans="1:52" x14ac:dyDescent="0.2">
      <c r="A113">
        <v>282</v>
      </c>
      <c r="B113" t="s">
        <v>29</v>
      </c>
      <c r="C113" t="s">
        <v>2</v>
      </c>
      <c r="D113">
        <v>69</v>
      </c>
      <c r="E113" t="s">
        <v>27</v>
      </c>
      <c r="G113">
        <v>282</v>
      </c>
      <c r="H113" t="s">
        <v>29</v>
      </c>
      <c r="I113" t="s">
        <v>2</v>
      </c>
      <c r="J113">
        <v>69</v>
      </c>
      <c r="K113" t="s">
        <v>27</v>
      </c>
      <c r="N113" t="s">
        <v>98</v>
      </c>
      <c r="U113" t="s">
        <v>214</v>
      </c>
    </row>
    <row r="114" spans="1:52" x14ac:dyDescent="0.2">
      <c r="A114">
        <v>287</v>
      </c>
      <c r="B114" t="s">
        <v>35</v>
      </c>
      <c r="C114" t="s">
        <v>3</v>
      </c>
      <c r="D114">
        <v>70</v>
      </c>
      <c r="E114" t="s">
        <v>27</v>
      </c>
      <c r="G114">
        <v>287</v>
      </c>
      <c r="H114" t="s">
        <v>35</v>
      </c>
      <c r="I114" t="s">
        <v>3</v>
      </c>
      <c r="J114">
        <v>70</v>
      </c>
      <c r="K114" t="s">
        <v>27</v>
      </c>
      <c r="N114" t="s">
        <v>99</v>
      </c>
    </row>
    <row r="115" spans="1:52" x14ac:dyDescent="0.2">
      <c r="A115">
        <v>288</v>
      </c>
      <c r="B115" t="s">
        <v>35</v>
      </c>
      <c r="C115" t="s">
        <v>2</v>
      </c>
      <c r="D115">
        <v>65</v>
      </c>
      <c r="E115" t="s">
        <v>27</v>
      </c>
      <c r="G115">
        <v>288</v>
      </c>
      <c r="H115" t="s">
        <v>35</v>
      </c>
      <c r="I115" t="s">
        <v>2</v>
      </c>
      <c r="J115">
        <v>65</v>
      </c>
      <c r="K115" t="s">
        <v>27</v>
      </c>
      <c r="N115" t="s">
        <v>35</v>
      </c>
      <c r="O115" t="s">
        <v>91</v>
      </c>
      <c r="P115" t="s">
        <v>100</v>
      </c>
    </row>
    <row r="116" spans="1:52" x14ac:dyDescent="0.2">
      <c r="A116">
        <v>290</v>
      </c>
      <c r="B116" t="s">
        <v>25</v>
      </c>
      <c r="C116" t="s">
        <v>3</v>
      </c>
      <c r="D116" s="23">
        <v>44</v>
      </c>
      <c r="E116" t="s">
        <v>27</v>
      </c>
      <c r="G116">
        <v>290</v>
      </c>
      <c r="H116" t="s">
        <v>25</v>
      </c>
      <c r="I116" t="s">
        <v>3</v>
      </c>
      <c r="K116" t="s">
        <v>27</v>
      </c>
      <c r="N116">
        <v>0.95513700000000001</v>
      </c>
      <c r="O116" t="s">
        <v>91</v>
      </c>
      <c r="P116">
        <v>0.3261</v>
      </c>
      <c r="U116" t="s">
        <v>208</v>
      </c>
      <c r="AY116" t="s">
        <v>105</v>
      </c>
    </row>
    <row r="117" spans="1:52" x14ac:dyDescent="0.2">
      <c r="A117">
        <v>291</v>
      </c>
      <c r="B117" t="s">
        <v>25</v>
      </c>
      <c r="C117" t="s">
        <v>3</v>
      </c>
      <c r="D117">
        <v>70</v>
      </c>
      <c r="E117" t="s">
        <v>27</v>
      </c>
      <c r="G117">
        <v>291</v>
      </c>
      <c r="H117" t="s">
        <v>25</v>
      </c>
      <c r="I117" t="s">
        <v>3</v>
      </c>
      <c r="J117">
        <v>70</v>
      </c>
      <c r="K117" t="s">
        <v>27</v>
      </c>
      <c r="U117" t="s">
        <v>55</v>
      </c>
    </row>
    <row r="118" spans="1:52" x14ac:dyDescent="0.2">
      <c r="A118">
        <v>293</v>
      </c>
      <c r="B118" t="s">
        <v>25</v>
      </c>
      <c r="C118" t="s">
        <v>3</v>
      </c>
      <c r="D118">
        <v>70</v>
      </c>
      <c r="E118" t="s">
        <v>27</v>
      </c>
      <c r="G118">
        <v>293</v>
      </c>
      <c r="H118" t="s">
        <v>25</v>
      </c>
      <c r="I118" t="s">
        <v>3</v>
      </c>
      <c r="J118">
        <v>70</v>
      </c>
      <c r="K118" t="s">
        <v>27</v>
      </c>
      <c r="U118" t="s">
        <v>209</v>
      </c>
    </row>
    <row r="119" spans="1:52" x14ac:dyDescent="0.2">
      <c r="A119">
        <v>294</v>
      </c>
      <c r="B119" t="s">
        <v>29</v>
      </c>
      <c r="C119" t="s">
        <v>3</v>
      </c>
      <c r="D119">
        <v>61</v>
      </c>
      <c r="E119" t="s">
        <v>33</v>
      </c>
      <c r="G119">
        <v>294</v>
      </c>
      <c r="H119" t="s">
        <v>29</v>
      </c>
      <c r="I119" t="s">
        <v>3</v>
      </c>
      <c r="J119">
        <v>61</v>
      </c>
      <c r="K119" t="s">
        <v>33</v>
      </c>
      <c r="N119" t="s">
        <v>104</v>
      </c>
      <c r="AY119" t="s">
        <v>55</v>
      </c>
    </row>
    <row r="120" spans="1:52" x14ac:dyDescent="0.2">
      <c r="A120">
        <v>296</v>
      </c>
      <c r="B120" t="s">
        <v>35</v>
      </c>
      <c r="C120" t="s">
        <v>3</v>
      </c>
      <c r="D120">
        <v>72</v>
      </c>
      <c r="E120" t="s">
        <v>27</v>
      </c>
      <c r="G120">
        <v>296</v>
      </c>
      <c r="H120" t="s">
        <v>35</v>
      </c>
      <c r="I120" t="s">
        <v>3</v>
      </c>
      <c r="J120">
        <v>72</v>
      </c>
      <c r="K120" t="s">
        <v>27</v>
      </c>
      <c r="N120" t="s">
        <v>55</v>
      </c>
      <c r="U120" t="s">
        <v>90</v>
      </c>
    </row>
    <row r="121" spans="1:52" x14ac:dyDescent="0.2">
      <c r="A121">
        <v>300</v>
      </c>
      <c r="B121" t="s">
        <v>29</v>
      </c>
      <c r="C121" t="s">
        <v>3</v>
      </c>
      <c r="D121">
        <v>66</v>
      </c>
      <c r="E121" t="s">
        <v>27</v>
      </c>
      <c r="G121">
        <v>300</v>
      </c>
      <c r="H121" t="s">
        <v>29</v>
      </c>
      <c r="I121" t="s">
        <v>3</v>
      </c>
      <c r="J121">
        <v>66</v>
      </c>
      <c r="K121" t="s">
        <v>27</v>
      </c>
      <c r="N121" t="s">
        <v>134</v>
      </c>
      <c r="U121" t="s">
        <v>69</v>
      </c>
      <c r="V121">
        <v>69.115942000000004</v>
      </c>
    </row>
    <row r="122" spans="1:52" x14ac:dyDescent="0.2">
      <c r="A122">
        <v>302</v>
      </c>
      <c r="B122" t="s">
        <v>29</v>
      </c>
      <c r="C122" t="s">
        <v>3</v>
      </c>
      <c r="D122">
        <v>68</v>
      </c>
      <c r="E122" t="s">
        <v>33</v>
      </c>
      <c r="G122">
        <v>302</v>
      </c>
      <c r="H122" t="s">
        <v>29</v>
      </c>
      <c r="I122" t="s">
        <v>3</v>
      </c>
      <c r="J122">
        <v>68</v>
      </c>
      <c r="K122" t="s">
        <v>33</v>
      </c>
      <c r="U122" t="s">
        <v>92</v>
      </c>
      <c r="V122">
        <v>7.0596955000000001</v>
      </c>
    </row>
    <row r="123" spans="1:52" x14ac:dyDescent="0.2">
      <c r="A123">
        <v>304</v>
      </c>
      <c r="B123" t="s">
        <v>29</v>
      </c>
      <c r="C123" t="s">
        <v>3</v>
      </c>
      <c r="D123">
        <v>65</v>
      </c>
      <c r="E123" t="s">
        <v>33</v>
      </c>
      <c r="G123">
        <v>304</v>
      </c>
      <c r="H123" t="s">
        <v>29</v>
      </c>
      <c r="I123" t="s">
        <v>3</v>
      </c>
      <c r="J123">
        <v>65</v>
      </c>
      <c r="K123" t="s">
        <v>33</v>
      </c>
      <c r="N123" t="s">
        <v>90</v>
      </c>
      <c r="U123" t="s">
        <v>93</v>
      </c>
      <c r="V123">
        <v>0.84988750000000002</v>
      </c>
    </row>
    <row r="124" spans="1:52" x14ac:dyDescent="0.2">
      <c r="A124">
        <v>305</v>
      </c>
      <c r="B124" t="s">
        <v>35</v>
      </c>
      <c r="C124" t="s">
        <v>3</v>
      </c>
      <c r="D124">
        <v>71</v>
      </c>
      <c r="E124" t="s">
        <v>27</v>
      </c>
      <c r="G124">
        <v>305</v>
      </c>
      <c r="H124" t="s">
        <v>35</v>
      </c>
      <c r="I124" t="s">
        <v>3</v>
      </c>
      <c r="J124">
        <v>71</v>
      </c>
      <c r="K124" t="s">
        <v>27</v>
      </c>
      <c r="N124" t="s">
        <v>69</v>
      </c>
      <c r="O124">
        <v>70.043477999999993</v>
      </c>
      <c r="U124" t="s">
        <v>94</v>
      </c>
      <c r="V124">
        <v>70.811865999999995</v>
      </c>
    </row>
    <row r="125" spans="1:52" x14ac:dyDescent="0.2">
      <c r="A125">
        <v>311</v>
      </c>
      <c r="B125" t="s">
        <v>29</v>
      </c>
      <c r="C125" t="s">
        <v>3</v>
      </c>
      <c r="D125">
        <v>57</v>
      </c>
      <c r="E125" t="s">
        <v>33</v>
      </c>
      <c r="G125">
        <v>311</v>
      </c>
      <c r="H125" t="s">
        <v>29</v>
      </c>
      <c r="I125" t="s">
        <v>3</v>
      </c>
      <c r="J125">
        <v>57</v>
      </c>
      <c r="K125" t="s">
        <v>33</v>
      </c>
      <c r="N125" t="s">
        <v>92</v>
      </c>
      <c r="O125">
        <v>5.6123099999999999</v>
      </c>
      <c r="U125" t="s">
        <v>95</v>
      </c>
      <c r="V125">
        <v>67.420017999999999</v>
      </c>
      <c r="AY125" t="s">
        <v>90</v>
      </c>
    </row>
    <row r="126" spans="1:52" x14ac:dyDescent="0.2">
      <c r="A126">
        <v>314</v>
      </c>
      <c r="B126" t="s">
        <v>25</v>
      </c>
      <c r="C126" t="s">
        <v>3</v>
      </c>
      <c r="D126">
        <v>74</v>
      </c>
      <c r="E126" t="s">
        <v>27</v>
      </c>
      <c r="G126">
        <v>314</v>
      </c>
      <c r="H126" t="s">
        <v>25</v>
      </c>
      <c r="I126" t="s">
        <v>3</v>
      </c>
      <c r="J126">
        <v>74</v>
      </c>
      <c r="K126" t="s">
        <v>27</v>
      </c>
      <c r="N126" t="s">
        <v>93</v>
      </c>
      <c r="O126">
        <v>1.1702475000000001</v>
      </c>
      <c r="U126" t="s">
        <v>96</v>
      </c>
      <c r="V126">
        <v>69</v>
      </c>
    </row>
    <row r="127" spans="1:52" x14ac:dyDescent="0.2">
      <c r="A127">
        <v>320</v>
      </c>
      <c r="B127" t="s">
        <v>25</v>
      </c>
      <c r="C127" t="s">
        <v>3</v>
      </c>
      <c r="D127">
        <v>66</v>
      </c>
      <c r="E127" t="s">
        <v>33</v>
      </c>
      <c r="G127">
        <v>320</v>
      </c>
      <c r="H127" t="s">
        <v>25</v>
      </c>
      <c r="I127" t="s">
        <v>3</v>
      </c>
      <c r="J127">
        <v>66</v>
      </c>
      <c r="K127" t="s">
        <v>33</v>
      </c>
      <c r="N127" t="s">
        <v>94</v>
      </c>
      <c r="O127">
        <v>72.470422999999997</v>
      </c>
      <c r="AY127" t="s">
        <v>91</v>
      </c>
      <c r="AZ127" t="s">
        <v>91</v>
      </c>
    </row>
    <row r="128" spans="1:52" x14ac:dyDescent="0.2">
      <c r="A128">
        <v>321</v>
      </c>
      <c r="B128" t="s">
        <v>29</v>
      </c>
      <c r="C128" t="s">
        <v>2</v>
      </c>
      <c r="D128">
        <v>68</v>
      </c>
      <c r="E128" t="s">
        <v>33</v>
      </c>
      <c r="G128">
        <v>321</v>
      </c>
      <c r="H128" t="s">
        <v>29</v>
      </c>
      <c r="I128" t="s">
        <v>2</v>
      </c>
      <c r="J128">
        <v>68</v>
      </c>
      <c r="K128" t="s">
        <v>33</v>
      </c>
      <c r="N128" t="s">
        <v>95</v>
      </c>
      <c r="O128">
        <v>67.616533000000004</v>
      </c>
      <c r="U128" t="s">
        <v>97</v>
      </c>
      <c r="AY128" t="s">
        <v>69</v>
      </c>
      <c r="AZ128">
        <v>69.321428999999995</v>
      </c>
    </row>
    <row r="129" spans="1:52" x14ac:dyDescent="0.2">
      <c r="A129">
        <v>322</v>
      </c>
      <c r="B129" t="s">
        <v>29</v>
      </c>
      <c r="C129" t="s">
        <v>3</v>
      </c>
      <c r="D129">
        <v>73</v>
      </c>
      <c r="E129" t="s">
        <v>33</v>
      </c>
      <c r="G129">
        <v>322</v>
      </c>
      <c r="H129" t="s">
        <v>29</v>
      </c>
      <c r="I129" t="s">
        <v>3</v>
      </c>
      <c r="J129">
        <v>73</v>
      </c>
      <c r="K129" t="s">
        <v>33</v>
      </c>
      <c r="N129" t="s">
        <v>96</v>
      </c>
      <c r="O129">
        <v>23</v>
      </c>
      <c r="U129" t="s">
        <v>98</v>
      </c>
      <c r="AY129" t="s">
        <v>92</v>
      </c>
      <c r="AZ129">
        <v>7.7462228</v>
      </c>
    </row>
    <row r="130" spans="1:52" x14ac:dyDescent="0.2">
      <c r="A130">
        <v>328</v>
      </c>
      <c r="B130" t="s">
        <v>29</v>
      </c>
      <c r="C130" t="s">
        <v>3</v>
      </c>
      <c r="D130">
        <v>77</v>
      </c>
      <c r="E130" t="s">
        <v>33</v>
      </c>
      <c r="G130">
        <v>328</v>
      </c>
      <c r="H130" t="s">
        <v>29</v>
      </c>
      <c r="I130" t="s">
        <v>3</v>
      </c>
      <c r="J130">
        <v>77</v>
      </c>
      <c r="K130" t="s">
        <v>33</v>
      </c>
      <c r="U130" t="s">
        <v>99</v>
      </c>
      <c r="AY130" t="s">
        <v>93</v>
      </c>
      <c r="AZ130">
        <v>1.4638985</v>
      </c>
    </row>
    <row r="131" spans="1:52" x14ac:dyDescent="0.2">
      <c r="A131">
        <v>329</v>
      </c>
      <c r="B131" t="s">
        <v>35</v>
      </c>
      <c r="C131" t="s">
        <v>2</v>
      </c>
      <c r="D131">
        <v>61</v>
      </c>
      <c r="E131" t="s">
        <v>27</v>
      </c>
      <c r="G131">
        <v>329</v>
      </c>
      <c r="H131" t="s">
        <v>35</v>
      </c>
      <c r="I131" t="s">
        <v>2</v>
      </c>
      <c r="J131">
        <v>61</v>
      </c>
      <c r="K131" t="s">
        <v>27</v>
      </c>
      <c r="N131" t="s">
        <v>97</v>
      </c>
      <c r="U131" t="s">
        <v>35</v>
      </c>
      <c r="V131" t="s">
        <v>91</v>
      </c>
      <c r="W131" t="s">
        <v>100</v>
      </c>
      <c r="AY131" t="s">
        <v>94</v>
      </c>
      <c r="AZ131">
        <v>72.325100000000006</v>
      </c>
    </row>
    <row r="132" spans="1:52" x14ac:dyDescent="0.2">
      <c r="A132">
        <v>330</v>
      </c>
      <c r="B132" t="s">
        <v>35</v>
      </c>
      <c r="C132" t="s">
        <v>2</v>
      </c>
      <c r="D132">
        <v>73</v>
      </c>
      <c r="E132" t="s">
        <v>27</v>
      </c>
      <c r="G132">
        <v>330</v>
      </c>
      <c r="H132" t="s">
        <v>35</v>
      </c>
      <c r="I132" t="s">
        <v>2</v>
      </c>
      <c r="J132">
        <v>73</v>
      </c>
      <c r="K132" t="s">
        <v>27</v>
      </c>
      <c r="N132" t="s">
        <v>98</v>
      </c>
      <c r="U132">
        <v>0.97065800000000002</v>
      </c>
      <c r="V132" t="s">
        <v>91</v>
      </c>
      <c r="W132">
        <v>0.104</v>
      </c>
      <c r="AY132" t="s">
        <v>95</v>
      </c>
      <c r="AZ132">
        <v>66.317757</v>
      </c>
    </row>
    <row r="133" spans="1:52" x14ac:dyDescent="0.2">
      <c r="A133">
        <v>333</v>
      </c>
      <c r="B133" t="s">
        <v>29</v>
      </c>
      <c r="C133" t="s">
        <v>2</v>
      </c>
      <c r="D133">
        <v>80</v>
      </c>
      <c r="E133" t="s">
        <v>33</v>
      </c>
      <c r="G133">
        <v>333</v>
      </c>
      <c r="H133" t="s">
        <v>29</v>
      </c>
      <c r="I133" t="s">
        <v>2</v>
      </c>
      <c r="J133">
        <v>80</v>
      </c>
      <c r="K133" t="s">
        <v>33</v>
      </c>
      <c r="N133" t="s">
        <v>99</v>
      </c>
      <c r="AY133" t="s">
        <v>96</v>
      </c>
      <c r="AZ133">
        <v>28</v>
      </c>
    </row>
    <row r="134" spans="1:52" x14ac:dyDescent="0.2">
      <c r="A134">
        <v>338</v>
      </c>
      <c r="B134" t="s">
        <v>29</v>
      </c>
      <c r="C134" t="s">
        <v>3</v>
      </c>
      <c r="D134">
        <v>79</v>
      </c>
      <c r="E134" t="s">
        <v>33</v>
      </c>
      <c r="G134">
        <v>338</v>
      </c>
      <c r="H134" t="s">
        <v>29</v>
      </c>
      <c r="I134" t="s">
        <v>3</v>
      </c>
      <c r="J134">
        <v>79</v>
      </c>
      <c r="K134" t="s">
        <v>33</v>
      </c>
      <c r="N134" t="s">
        <v>35</v>
      </c>
      <c r="O134" t="s">
        <v>91</v>
      </c>
      <c r="P134" t="s">
        <v>100</v>
      </c>
    </row>
    <row r="135" spans="1:52" x14ac:dyDescent="0.2">
      <c r="A135">
        <v>339</v>
      </c>
      <c r="B135" t="s">
        <v>25</v>
      </c>
      <c r="C135" t="s">
        <v>3</v>
      </c>
      <c r="D135">
        <v>65</v>
      </c>
      <c r="E135" t="s">
        <v>33</v>
      </c>
      <c r="G135">
        <v>339</v>
      </c>
      <c r="H135" t="s">
        <v>25</v>
      </c>
      <c r="I135" t="s">
        <v>3</v>
      </c>
      <c r="J135">
        <v>65</v>
      </c>
      <c r="K135" t="s">
        <v>33</v>
      </c>
      <c r="N135">
        <v>0.93439499999999998</v>
      </c>
      <c r="O135" t="s">
        <v>91</v>
      </c>
      <c r="P135">
        <v>0.1361</v>
      </c>
      <c r="U135" t="s">
        <v>210</v>
      </c>
    </row>
    <row r="136" spans="1:52" x14ac:dyDescent="0.2">
      <c r="A136">
        <v>343</v>
      </c>
      <c r="B136" t="s">
        <v>35</v>
      </c>
      <c r="C136" t="s">
        <v>2</v>
      </c>
      <c r="D136">
        <v>73</v>
      </c>
      <c r="E136" t="s">
        <v>27</v>
      </c>
      <c r="G136">
        <v>343</v>
      </c>
      <c r="H136" t="s">
        <v>35</v>
      </c>
      <c r="I136" t="s">
        <v>2</v>
      </c>
      <c r="J136">
        <v>73</v>
      </c>
      <c r="K136" t="s">
        <v>27</v>
      </c>
      <c r="U136" t="s">
        <v>55</v>
      </c>
    </row>
    <row r="137" spans="1:52" x14ac:dyDescent="0.2">
      <c r="A137">
        <v>347</v>
      </c>
      <c r="B137" t="s">
        <v>35</v>
      </c>
      <c r="C137" t="s">
        <v>3</v>
      </c>
      <c r="D137">
        <v>72</v>
      </c>
      <c r="E137" t="s">
        <v>27</v>
      </c>
      <c r="G137">
        <v>347</v>
      </c>
      <c r="H137" t="s">
        <v>35</v>
      </c>
      <c r="I137" t="s">
        <v>3</v>
      </c>
      <c r="J137">
        <v>72</v>
      </c>
      <c r="K137" t="s">
        <v>27</v>
      </c>
      <c r="U137" t="s">
        <v>211</v>
      </c>
    </row>
    <row r="138" spans="1:52" x14ac:dyDescent="0.2">
      <c r="A138">
        <v>349</v>
      </c>
      <c r="B138" t="s">
        <v>29</v>
      </c>
      <c r="C138" t="s">
        <v>3</v>
      </c>
      <c r="D138">
        <v>58</v>
      </c>
      <c r="E138" t="s">
        <v>33</v>
      </c>
      <c r="G138">
        <v>349</v>
      </c>
      <c r="H138" t="s">
        <v>29</v>
      </c>
      <c r="I138" t="s">
        <v>3</v>
      </c>
      <c r="J138">
        <v>58</v>
      </c>
      <c r="K138" t="s">
        <v>33</v>
      </c>
      <c r="N138" t="s">
        <v>105</v>
      </c>
    </row>
    <row r="139" spans="1:52" x14ac:dyDescent="0.2">
      <c r="A139">
        <v>356</v>
      </c>
      <c r="B139" t="s">
        <v>35</v>
      </c>
      <c r="C139" t="s">
        <v>3</v>
      </c>
      <c r="D139">
        <v>75</v>
      </c>
      <c r="E139" t="s">
        <v>27</v>
      </c>
      <c r="G139">
        <v>356</v>
      </c>
      <c r="H139" t="s">
        <v>35</v>
      </c>
      <c r="I139" t="s">
        <v>3</v>
      </c>
      <c r="J139">
        <v>75</v>
      </c>
      <c r="K139" t="s">
        <v>27</v>
      </c>
      <c r="N139" t="s">
        <v>55</v>
      </c>
      <c r="U139" t="s">
        <v>90</v>
      </c>
    </row>
    <row r="140" spans="1:52" x14ac:dyDescent="0.2">
      <c r="A140">
        <v>357</v>
      </c>
      <c r="B140" t="s">
        <v>35</v>
      </c>
      <c r="C140" t="s">
        <v>3</v>
      </c>
      <c r="D140">
        <v>51</v>
      </c>
      <c r="E140" t="s">
        <v>27</v>
      </c>
      <c r="G140">
        <v>357</v>
      </c>
      <c r="H140" t="s">
        <v>35</v>
      </c>
      <c r="I140" t="s">
        <v>3</v>
      </c>
      <c r="K140" t="s">
        <v>27</v>
      </c>
      <c r="N140" t="s">
        <v>135</v>
      </c>
      <c r="U140" t="s">
        <v>69</v>
      </c>
      <c r="V140">
        <v>70.702128000000002</v>
      </c>
    </row>
    <row r="141" spans="1:52" x14ac:dyDescent="0.2">
      <c r="A141">
        <v>358</v>
      </c>
      <c r="B141" t="s">
        <v>25</v>
      </c>
      <c r="C141" t="s">
        <v>3</v>
      </c>
      <c r="D141" s="10">
        <v>70</v>
      </c>
      <c r="E141" t="s">
        <v>33</v>
      </c>
      <c r="F141" s="10"/>
      <c r="G141" s="10">
        <v>358</v>
      </c>
      <c r="H141" s="10" t="s">
        <v>25</v>
      </c>
      <c r="I141" s="10" t="s">
        <v>3</v>
      </c>
      <c r="J141" s="10">
        <v>70</v>
      </c>
      <c r="K141" t="s">
        <v>33</v>
      </c>
      <c r="U141" t="s">
        <v>92</v>
      </c>
      <c r="V141">
        <v>5.9010496000000003</v>
      </c>
    </row>
    <row r="142" spans="1:52" x14ac:dyDescent="0.2">
      <c r="A142">
        <v>366</v>
      </c>
      <c r="B142" t="s">
        <v>35</v>
      </c>
      <c r="C142" t="s">
        <v>3</v>
      </c>
      <c r="D142">
        <v>64</v>
      </c>
      <c r="E142" t="s">
        <v>27</v>
      </c>
      <c r="G142">
        <v>366</v>
      </c>
      <c r="H142" t="s">
        <v>35</v>
      </c>
      <c r="I142" t="s">
        <v>3</v>
      </c>
      <c r="J142">
        <v>64</v>
      </c>
      <c r="K142" t="s">
        <v>27</v>
      </c>
      <c r="N142" t="s">
        <v>90</v>
      </c>
      <c r="U142" t="s">
        <v>93</v>
      </c>
      <c r="V142">
        <v>0.86075659999999998</v>
      </c>
    </row>
    <row r="143" spans="1:52" x14ac:dyDescent="0.2">
      <c r="A143">
        <v>372</v>
      </c>
      <c r="B143" t="s">
        <v>35</v>
      </c>
      <c r="C143" t="s">
        <v>3</v>
      </c>
      <c r="D143">
        <v>65</v>
      </c>
      <c r="E143" t="s">
        <v>27</v>
      </c>
      <c r="G143">
        <v>372</v>
      </c>
      <c r="H143" t="s">
        <v>35</v>
      </c>
      <c r="I143" t="s">
        <v>3</v>
      </c>
      <c r="J143">
        <v>65</v>
      </c>
      <c r="K143" t="s">
        <v>27</v>
      </c>
      <c r="N143" t="s">
        <v>69</v>
      </c>
      <c r="O143">
        <v>70.846153999999999</v>
      </c>
      <c r="U143" t="s">
        <v>94</v>
      </c>
      <c r="V143">
        <v>72.434741000000002</v>
      </c>
    </row>
    <row r="144" spans="1:52" x14ac:dyDescent="0.2">
      <c r="A144">
        <v>374</v>
      </c>
      <c r="B144" t="s">
        <v>25</v>
      </c>
      <c r="C144" t="s">
        <v>3</v>
      </c>
      <c r="D144">
        <v>82</v>
      </c>
      <c r="E144" t="s">
        <v>33</v>
      </c>
      <c r="G144">
        <v>374</v>
      </c>
      <c r="H144" t="s">
        <v>25</v>
      </c>
      <c r="I144" t="s">
        <v>3</v>
      </c>
      <c r="J144">
        <v>82</v>
      </c>
      <c r="K144" t="s">
        <v>33</v>
      </c>
      <c r="N144" t="s">
        <v>92</v>
      </c>
      <c r="O144">
        <v>5.5475566000000001</v>
      </c>
      <c r="U144" t="s">
        <v>95</v>
      </c>
      <c r="V144">
        <v>68.969515000000001</v>
      </c>
    </row>
    <row r="145" spans="1:23" x14ac:dyDescent="0.2">
      <c r="A145">
        <v>377</v>
      </c>
      <c r="B145" t="s">
        <v>25</v>
      </c>
      <c r="C145" t="s">
        <v>3</v>
      </c>
      <c r="D145">
        <v>72</v>
      </c>
      <c r="E145" t="s">
        <v>33</v>
      </c>
      <c r="G145">
        <v>377</v>
      </c>
      <c r="H145" t="s">
        <v>25</v>
      </c>
      <c r="I145" t="s">
        <v>3</v>
      </c>
      <c r="J145">
        <v>72</v>
      </c>
      <c r="K145" t="s">
        <v>33</v>
      </c>
      <c r="N145" t="s">
        <v>93</v>
      </c>
      <c r="O145">
        <v>1.0879654000000001</v>
      </c>
      <c r="U145" t="s">
        <v>96</v>
      </c>
      <c r="V145">
        <v>47</v>
      </c>
    </row>
    <row r="146" spans="1:23" x14ac:dyDescent="0.2">
      <c r="A146">
        <v>378</v>
      </c>
      <c r="B146" t="s">
        <v>35</v>
      </c>
      <c r="C146" t="s">
        <v>3</v>
      </c>
      <c r="D146">
        <v>64</v>
      </c>
      <c r="E146" t="s">
        <v>27</v>
      </c>
      <c r="G146">
        <v>378</v>
      </c>
      <c r="H146" t="s">
        <v>35</v>
      </c>
      <c r="I146" t="s">
        <v>3</v>
      </c>
      <c r="J146">
        <v>64</v>
      </c>
      <c r="K146" t="s">
        <v>27</v>
      </c>
      <c r="N146" t="s">
        <v>94</v>
      </c>
      <c r="O146">
        <v>73.086860000000001</v>
      </c>
    </row>
    <row r="147" spans="1:23" x14ac:dyDescent="0.2">
      <c r="A147">
        <v>379</v>
      </c>
      <c r="B147" t="s">
        <v>25</v>
      </c>
      <c r="C147" t="s">
        <v>3</v>
      </c>
      <c r="D147">
        <v>78</v>
      </c>
      <c r="E147" t="s">
        <v>27</v>
      </c>
      <c r="G147">
        <v>379</v>
      </c>
      <c r="H147" t="s">
        <v>25</v>
      </c>
      <c r="I147" t="s">
        <v>3</v>
      </c>
      <c r="J147">
        <v>78</v>
      </c>
      <c r="K147" t="s">
        <v>27</v>
      </c>
      <c r="N147" t="s">
        <v>95</v>
      </c>
      <c r="O147">
        <v>68.605446999999998</v>
      </c>
      <c r="U147" t="s">
        <v>97</v>
      </c>
    </row>
    <row r="148" spans="1:23" x14ac:dyDescent="0.2">
      <c r="A148">
        <v>380</v>
      </c>
      <c r="B148" t="s">
        <v>29</v>
      </c>
      <c r="C148" t="s">
        <v>3</v>
      </c>
      <c r="D148">
        <v>75</v>
      </c>
      <c r="E148" t="s">
        <v>33</v>
      </c>
      <c r="G148">
        <v>380</v>
      </c>
      <c r="H148" t="s">
        <v>29</v>
      </c>
      <c r="I148" t="s">
        <v>3</v>
      </c>
      <c r="J148">
        <v>75</v>
      </c>
      <c r="K148" t="s">
        <v>33</v>
      </c>
      <c r="N148" t="s">
        <v>96</v>
      </c>
      <c r="O148">
        <v>26</v>
      </c>
      <c r="U148" t="s">
        <v>98</v>
      </c>
    </row>
    <row r="149" spans="1:23" x14ac:dyDescent="0.2">
      <c r="A149">
        <v>381</v>
      </c>
      <c r="B149" t="s">
        <v>29</v>
      </c>
      <c r="C149" t="s">
        <v>3</v>
      </c>
      <c r="D149">
        <v>69</v>
      </c>
      <c r="E149" t="s">
        <v>33</v>
      </c>
      <c r="G149">
        <v>381</v>
      </c>
      <c r="H149" t="s">
        <v>29</v>
      </c>
      <c r="I149" t="s">
        <v>3</v>
      </c>
      <c r="J149">
        <v>69</v>
      </c>
      <c r="K149" t="s">
        <v>33</v>
      </c>
      <c r="U149" t="s">
        <v>99</v>
      </c>
    </row>
    <row r="150" spans="1:23" x14ac:dyDescent="0.2">
      <c r="A150">
        <v>384</v>
      </c>
      <c r="B150" t="s">
        <v>35</v>
      </c>
      <c r="C150" t="s">
        <v>2</v>
      </c>
      <c r="D150">
        <v>65</v>
      </c>
      <c r="E150" t="s">
        <v>27</v>
      </c>
      <c r="G150">
        <v>384</v>
      </c>
      <c r="H150" t="s">
        <v>35</v>
      </c>
      <c r="I150" t="s">
        <v>2</v>
      </c>
      <c r="J150">
        <v>65</v>
      </c>
      <c r="K150" t="s">
        <v>27</v>
      </c>
      <c r="N150" t="s">
        <v>97</v>
      </c>
      <c r="O150" t="s">
        <v>91</v>
      </c>
      <c r="U150" t="s">
        <v>35</v>
      </c>
      <c r="V150" t="s">
        <v>91</v>
      </c>
      <c r="W150" t="s">
        <v>100</v>
      </c>
    </row>
    <row r="151" spans="1:23" x14ac:dyDescent="0.2">
      <c r="A151">
        <v>387</v>
      </c>
      <c r="B151" t="s">
        <v>35</v>
      </c>
      <c r="C151" t="s">
        <v>2</v>
      </c>
      <c r="D151">
        <v>75</v>
      </c>
      <c r="E151" t="s">
        <v>27</v>
      </c>
      <c r="G151">
        <v>387</v>
      </c>
      <c r="H151" t="s">
        <v>35</v>
      </c>
      <c r="I151" t="s">
        <v>2</v>
      </c>
      <c r="J151">
        <v>75</v>
      </c>
      <c r="K151" t="s">
        <v>27</v>
      </c>
      <c r="N151" t="s">
        <v>98</v>
      </c>
      <c r="U151">
        <v>0.95886000000000005</v>
      </c>
      <c r="V151" t="s">
        <v>91</v>
      </c>
      <c r="W151">
        <v>9.69E-2</v>
      </c>
    </row>
    <row r="152" spans="1:23" x14ac:dyDescent="0.2">
      <c r="A152">
        <v>388</v>
      </c>
      <c r="B152" t="s">
        <v>29</v>
      </c>
      <c r="C152" t="s">
        <v>2</v>
      </c>
      <c r="D152">
        <v>63</v>
      </c>
      <c r="E152" t="s">
        <v>33</v>
      </c>
      <c r="G152">
        <v>388</v>
      </c>
      <c r="H152" t="s">
        <v>29</v>
      </c>
      <c r="I152" t="s">
        <v>2</v>
      </c>
      <c r="J152">
        <v>63</v>
      </c>
      <c r="K152" t="s">
        <v>33</v>
      </c>
      <c r="N152" t="s">
        <v>99</v>
      </c>
    </row>
    <row r="153" spans="1:23" x14ac:dyDescent="0.2">
      <c r="A153">
        <v>391</v>
      </c>
      <c r="B153" t="s">
        <v>29</v>
      </c>
      <c r="C153" t="s">
        <v>2</v>
      </c>
      <c r="D153">
        <v>74</v>
      </c>
      <c r="E153" t="s">
        <v>33</v>
      </c>
      <c r="G153">
        <v>391</v>
      </c>
      <c r="H153" t="s">
        <v>29</v>
      </c>
      <c r="I153" t="s">
        <v>2</v>
      </c>
      <c r="J153">
        <v>74</v>
      </c>
      <c r="K153" t="s">
        <v>33</v>
      </c>
      <c r="N153" t="s">
        <v>35</v>
      </c>
      <c r="O153" t="s">
        <v>91</v>
      </c>
      <c r="P153" t="s">
        <v>100</v>
      </c>
    </row>
    <row r="154" spans="1:23" x14ac:dyDescent="0.2">
      <c r="A154">
        <v>392</v>
      </c>
      <c r="B154" t="s">
        <v>35</v>
      </c>
      <c r="C154" t="s">
        <v>2</v>
      </c>
      <c r="D154">
        <v>66</v>
      </c>
      <c r="E154" t="s">
        <v>27</v>
      </c>
      <c r="G154">
        <v>392</v>
      </c>
      <c r="H154" t="s">
        <v>35</v>
      </c>
      <c r="I154" t="s">
        <v>2</v>
      </c>
      <c r="J154">
        <v>66</v>
      </c>
      <c r="K154" t="s">
        <v>27</v>
      </c>
      <c r="N154">
        <v>0.97401400000000005</v>
      </c>
      <c r="O154" t="s">
        <v>91</v>
      </c>
      <c r="P154">
        <v>0.72860000000000003</v>
      </c>
      <c r="U154" t="s">
        <v>212</v>
      </c>
    </row>
    <row r="155" spans="1:23" x14ac:dyDescent="0.2">
      <c r="A155">
        <v>394</v>
      </c>
      <c r="B155" t="s">
        <v>29</v>
      </c>
      <c r="C155" t="s">
        <v>3</v>
      </c>
      <c r="D155">
        <v>52</v>
      </c>
      <c r="E155" t="s">
        <v>33</v>
      </c>
      <c r="G155">
        <v>394</v>
      </c>
      <c r="H155" t="s">
        <v>29</v>
      </c>
      <c r="I155" t="s">
        <v>3</v>
      </c>
      <c r="J155">
        <v>52</v>
      </c>
      <c r="K155" t="s">
        <v>33</v>
      </c>
      <c r="U155" t="s">
        <v>55</v>
      </c>
    </row>
    <row r="156" spans="1:23" x14ac:dyDescent="0.2">
      <c r="A156">
        <v>401</v>
      </c>
      <c r="B156" t="s">
        <v>25</v>
      </c>
      <c r="C156" t="s">
        <v>2</v>
      </c>
      <c r="D156">
        <v>63</v>
      </c>
      <c r="E156" t="s">
        <v>33</v>
      </c>
      <c r="G156">
        <v>401</v>
      </c>
      <c r="H156" t="s">
        <v>25</v>
      </c>
      <c r="I156" t="s">
        <v>2</v>
      </c>
      <c r="J156">
        <v>63</v>
      </c>
      <c r="K156" t="s">
        <v>33</v>
      </c>
      <c r="U156" t="s">
        <v>213</v>
      </c>
    </row>
    <row r="157" spans="1:23" x14ac:dyDescent="0.2">
      <c r="A157">
        <v>403</v>
      </c>
      <c r="B157" t="s">
        <v>25</v>
      </c>
      <c r="C157" t="s">
        <v>3</v>
      </c>
      <c r="D157">
        <v>78</v>
      </c>
      <c r="E157" t="s">
        <v>27</v>
      </c>
      <c r="G157">
        <v>403</v>
      </c>
      <c r="H157" t="s">
        <v>25</v>
      </c>
      <c r="I157" t="s">
        <v>3</v>
      </c>
      <c r="J157">
        <v>78</v>
      </c>
      <c r="K157" t="s">
        <v>27</v>
      </c>
    </row>
    <row r="158" spans="1:23" x14ac:dyDescent="0.2">
      <c r="A158">
        <v>405</v>
      </c>
      <c r="B158" t="s">
        <v>35</v>
      </c>
      <c r="C158" t="s">
        <v>2</v>
      </c>
      <c r="D158">
        <v>64</v>
      </c>
      <c r="E158" t="s">
        <v>27</v>
      </c>
      <c r="G158">
        <v>405</v>
      </c>
      <c r="H158" t="s">
        <v>35</v>
      </c>
      <c r="I158" t="s">
        <v>2</v>
      </c>
      <c r="J158">
        <v>64</v>
      </c>
      <c r="K158" t="s">
        <v>27</v>
      </c>
      <c r="U158" t="s">
        <v>90</v>
      </c>
      <c r="V158" t="s">
        <v>91</v>
      </c>
    </row>
    <row r="159" spans="1:23" x14ac:dyDescent="0.2">
      <c r="A159">
        <v>409</v>
      </c>
      <c r="B159" t="s">
        <v>29</v>
      </c>
      <c r="C159" t="s">
        <v>3</v>
      </c>
      <c r="D159">
        <v>76</v>
      </c>
      <c r="E159" t="s">
        <v>33</v>
      </c>
      <c r="G159">
        <v>409</v>
      </c>
      <c r="H159" t="s">
        <v>29</v>
      </c>
      <c r="I159" t="s">
        <v>3</v>
      </c>
      <c r="J159">
        <v>76</v>
      </c>
      <c r="K159" t="s">
        <v>33</v>
      </c>
      <c r="U159" t="s">
        <v>69</v>
      </c>
      <c r="V159">
        <v>70.469387999999995</v>
      </c>
    </row>
    <row r="160" spans="1:23" x14ac:dyDescent="0.2">
      <c r="A160">
        <v>413</v>
      </c>
      <c r="B160" t="s">
        <v>25</v>
      </c>
      <c r="C160" t="s">
        <v>2</v>
      </c>
      <c r="D160">
        <v>65</v>
      </c>
      <c r="E160" t="s">
        <v>33</v>
      </c>
      <c r="G160">
        <v>413</v>
      </c>
      <c r="H160" t="s">
        <v>25</v>
      </c>
      <c r="I160" t="s">
        <v>2</v>
      </c>
      <c r="J160">
        <v>65</v>
      </c>
      <c r="K160" t="s">
        <v>33</v>
      </c>
      <c r="U160" t="s">
        <v>92</v>
      </c>
      <c r="V160">
        <v>5.53437</v>
      </c>
    </row>
    <row r="161" spans="1:23" x14ac:dyDescent="0.2">
      <c r="A161">
        <v>417</v>
      </c>
      <c r="B161" t="s">
        <v>35</v>
      </c>
      <c r="C161" t="s">
        <v>3</v>
      </c>
      <c r="D161">
        <v>70</v>
      </c>
      <c r="E161" t="s">
        <v>27</v>
      </c>
      <c r="G161">
        <v>417</v>
      </c>
      <c r="H161" t="s">
        <v>35</v>
      </c>
      <c r="I161" t="s">
        <v>3</v>
      </c>
      <c r="J161">
        <v>70</v>
      </c>
      <c r="K161" t="s">
        <v>27</v>
      </c>
      <c r="U161" t="s">
        <v>93</v>
      </c>
      <c r="V161">
        <v>0.79062429999999995</v>
      </c>
    </row>
    <row r="162" spans="1:23" x14ac:dyDescent="0.2">
      <c r="A162">
        <v>418</v>
      </c>
      <c r="B162" t="s">
        <v>35</v>
      </c>
      <c r="C162" t="s">
        <v>3</v>
      </c>
      <c r="D162">
        <v>69</v>
      </c>
      <c r="E162" t="s">
        <v>27</v>
      </c>
      <c r="G162">
        <v>418</v>
      </c>
      <c r="H162" t="s">
        <v>35</v>
      </c>
      <c r="I162" t="s">
        <v>3</v>
      </c>
      <c r="J162">
        <v>69</v>
      </c>
      <c r="K162" t="s">
        <v>27</v>
      </c>
      <c r="U162" t="s">
        <v>94</v>
      </c>
      <c r="V162">
        <v>72.059044</v>
      </c>
    </row>
    <row r="163" spans="1:23" x14ac:dyDescent="0.2">
      <c r="A163">
        <v>421</v>
      </c>
      <c r="B163" t="s">
        <v>25</v>
      </c>
      <c r="C163" t="s">
        <v>3</v>
      </c>
      <c r="D163">
        <v>78</v>
      </c>
      <c r="E163" t="s">
        <v>33</v>
      </c>
      <c r="G163">
        <v>421</v>
      </c>
      <c r="H163" t="s">
        <v>25</v>
      </c>
      <c r="I163" t="s">
        <v>3</v>
      </c>
      <c r="J163">
        <v>78</v>
      </c>
      <c r="K163" t="s">
        <v>33</v>
      </c>
      <c r="U163" t="s">
        <v>95</v>
      </c>
      <c r="V163">
        <v>68.879731000000007</v>
      </c>
    </row>
    <row r="164" spans="1:23" x14ac:dyDescent="0.2">
      <c r="A164">
        <v>423</v>
      </c>
      <c r="B164" t="s">
        <v>29</v>
      </c>
      <c r="C164" t="s">
        <v>2</v>
      </c>
      <c r="D164">
        <v>74</v>
      </c>
      <c r="E164" t="s">
        <v>27</v>
      </c>
      <c r="G164">
        <v>423</v>
      </c>
      <c r="H164" t="s">
        <v>29</v>
      </c>
      <c r="I164" t="s">
        <v>2</v>
      </c>
      <c r="J164">
        <v>74</v>
      </c>
      <c r="K164" t="s">
        <v>27</v>
      </c>
      <c r="U164" t="s">
        <v>96</v>
      </c>
      <c r="V164">
        <v>49</v>
      </c>
    </row>
    <row r="165" spans="1:23" x14ac:dyDescent="0.2">
      <c r="A165">
        <v>425</v>
      </c>
      <c r="B165" t="s">
        <v>35</v>
      </c>
      <c r="C165" t="s">
        <v>2</v>
      </c>
      <c r="D165">
        <v>64</v>
      </c>
      <c r="E165" t="s">
        <v>27</v>
      </c>
      <c r="G165">
        <v>425</v>
      </c>
      <c r="H165" t="s">
        <v>35</v>
      </c>
      <c r="I165" t="s">
        <v>2</v>
      </c>
      <c r="J165">
        <v>64</v>
      </c>
      <c r="K165" t="s">
        <v>27</v>
      </c>
    </row>
    <row r="166" spans="1:23" x14ac:dyDescent="0.2">
      <c r="A166">
        <v>429</v>
      </c>
      <c r="B166" t="s">
        <v>29</v>
      </c>
      <c r="C166" t="s">
        <v>3</v>
      </c>
      <c r="D166">
        <v>62</v>
      </c>
      <c r="E166" t="s">
        <v>33</v>
      </c>
      <c r="G166">
        <v>429</v>
      </c>
      <c r="H166" t="s">
        <v>29</v>
      </c>
      <c r="I166" t="s">
        <v>3</v>
      </c>
      <c r="J166">
        <v>62</v>
      </c>
      <c r="K166" t="s">
        <v>33</v>
      </c>
      <c r="U166" t="s">
        <v>97</v>
      </c>
    </row>
    <row r="167" spans="1:23" x14ac:dyDescent="0.2">
      <c r="A167">
        <v>436</v>
      </c>
      <c r="B167" t="s">
        <v>35</v>
      </c>
      <c r="C167" t="s">
        <v>3</v>
      </c>
      <c r="D167">
        <v>78</v>
      </c>
      <c r="E167" t="s">
        <v>27</v>
      </c>
      <c r="G167">
        <v>436</v>
      </c>
      <c r="H167" t="s">
        <v>35</v>
      </c>
      <c r="I167" t="s">
        <v>3</v>
      </c>
      <c r="J167">
        <v>78</v>
      </c>
      <c r="K167" t="s">
        <v>27</v>
      </c>
      <c r="U167" t="s">
        <v>98</v>
      </c>
    </row>
    <row r="168" spans="1:23" x14ac:dyDescent="0.2">
      <c r="A168">
        <v>441</v>
      </c>
      <c r="B168" t="s">
        <v>29</v>
      </c>
      <c r="C168" t="s">
        <v>2</v>
      </c>
      <c r="D168">
        <v>52</v>
      </c>
      <c r="E168" t="s">
        <v>33</v>
      </c>
      <c r="G168">
        <v>441</v>
      </c>
      <c r="H168" t="s">
        <v>29</v>
      </c>
      <c r="I168" t="s">
        <v>2</v>
      </c>
      <c r="J168">
        <v>52</v>
      </c>
      <c r="K168" t="s">
        <v>33</v>
      </c>
      <c r="U168" t="s">
        <v>99</v>
      </c>
    </row>
    <row r="169" spans="1:23" x14ac:dyDescent="0.2">
      <c r="A169">
        <v>442</v>
      </c>
      <c r="B169" t="s">
        <v>35</v>
      </c>
      <c r="C169" t="s">
        <v>2</v>
      </c>
      <c r="D169">
        <v>77</v>
      </c>
      <c r="E169" t="s">
        <v>27</v>
      </c>
      <c r="G169">
        <v>442</v>
      </c>
      <c r="H169" t="s">
        <v>35</v>
      </c>
      <c r="I169" t="s">
        <v>2</v>
      </c>
      <c r="J169">
        <v>77</v>
      </c>
      <c r="K169" t="s">
        <v>27</v>
      </c>
      <c r="U169" t="s">
        <v>35</v>
      </c>
      <c r="V169" t="s">
        <v>91</v>
      </c>
      <c r="W169" t="s">
        <v>100</v>
      </c>
    </row>
    <row r="170" spans="1:23" x14ac:dyDescent="0.2">
      <c r="A170">
        <v>450</v>
      </c>
      <c r="B170" t="s">
        <v>29</v>
      </c>
      <c r="C170" t="s">
        <v>2</v>
      </c>
      <c r="D170">
        <v>75</v>
      </c>
      <c r="E170" t="s">
        <v>33</v>
      </c>
      <c r="G170">
        <v>450</v>
      </c>
      <c r="H170" t="s">
        <v>29</v>
      </c>
      <c r="I170" t="s">
        <v>2</v>
      </c>
      <c r="J170">
        <v>75</v>
      </c>
      <c r="K170" t="s">
        <v>33</v>
      </c>
      <c r="U170">
        <v>0.97206800000000004</v>
      </c>
      <c r="V170" t="s">
        <v>91</v>
      </c>
      <c r="W170">
        <v>0.29210000000000003</v>
      </c>
    </row>
    <row r="171" spans="1:23" x14ac:dyDescent="0.2">
      <c r="A171">
        <v>456</v>
      </c>
      <c r="B171" t="s">
        <v>25</v>
      </c>
      <c r="C171" t="s">
        <v>3</v>
      </c>
      <c r="D171">
        <v>64</v>
      </c>
      <c r="E171" t="s">
        <v>33</v>
      </c>
      <c r="G171">
        <v>456</v>
      </c>
      <c r="H171" t="s">
        <v>25</v>
      </c>
      <c r="I171" t="s">
        <v>3</v>
      </c>
      <c r="J171">
        <v>64</v>
      </c>
      <c r="K171" t="s">
        <v>33</v>
      </c>
    </row>
    <row r="172" spans="1:23" x14ac:dyDescent="0.2">
      <c r="A172">
        <v>458</v>
      </c>
      <c r="B172" t="s">
        <v>25</v>
      </c>
      <c r="C172" t="s">
        <v>2</v>
      </c>
      <c r="D172">
        <v>66</v>
      </c>
      <c r="E172" t="s">
        <v>33</v>
      </c>
      <c r="G172">
        <v>458</v>
      </c>
      <c r="H172" t="s">
        <v>25</v>
      </c>
      <c r="I172" t="s">
        <v>2</v>
      </c>
      <c r="J172">
        <v>66</v>
      </c>
      <c r="K172" t="s">
        <v>33</v>
      </c>
    </row>
    <row r="173" spans="1:23" x14ac:dyDescent="0.2">
      <c r="A173">
        <v>459</v>
      </c>
      <c r="B173" t="s">
        <v>25</v>
      </c>
      <c r="C173" t="s">
        <v>2</v>
      </c>
      <c r="D173">
        <v>73</v>
      </c>
      <c r="E173" t="s">
        <v>33</v>
      </c>
      <c r="G173">
        <v>459</v>
      </c>
      <c r="H173" t="s">
        <v>25</v>
      </c>
      <c r="I173" t="s">
        <v>2</v>
      </c>
      <c r="J173">
        <v>73</v>
      </c>
      <c r="K173" t="s">
        <v>33</v>
      </c>
    </row>
    <row r="174" spans="1:23" x14ac:dyDescent="0.2">
      <c r="A174">
        <v>466</v>
      </c>
      <c r="B174" t="s">
        <v>29</v>
      </c>
      <c r="C174" t="s">
        <v>2</v>
      </c>
      <c r="D174">
        <v>76</v>
      </c>
      <c r="E174" t="s">
        <v>33</v>
      </c>
      <c r="G174">
        <v>466</v>
      </c>
      <c r="H174" t="s">
        <v>29</v>
      </c>
      <c r="I174" t="s">
        <v>2</v>
      </c>
      <c r="J174">
        <v>76</v>
      </c>
      <c r="K174" t="s">
        <v>33</v>
      </c>
    </row>
  </sheetData>
  <sortState xmlns:xlrd2="http://schemas.microsoft.com/office/spreadsheetml/2017/richdata2" ref="A4:J174">
    <sortCondition ref="A4:A17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31"/>
  <sheetViews>
    <sheetView topLeftCell="A139" workbookViewId="0">
      <selection activeCell="D3" sqref="D3:D175"/>
    </sheetView>
  </sheetViews>
  <sheetFormatPr baseColWidth="10" defaultColWidth="8.83203125" defaultRowHeight="15" x14ac:dyDescent="0.2"/>
  <cols>
    <col min="1" max="2" width="9.1640625" customWidth="1"/>
    <col min="3" max="3" width="10.83203125" customWidth="1"/>
    <col min="4" max="4" width="9.6640625" customWidth="1"/>
  </cols>
  <sheetData>
    <row r="1" spans="1:52" ht="207" customHeight="1" x14ac:dyDescent="0.2"/>
    <row r="2" spans="1:52" x14ac:dyDescent="0.2">
      <c r="A2" t="s">
        <v>86</v>
      </c>
      <c r="J2" t="s">
        <v>87</v>
      </c>
    </row>
    <row r="3" spans="1:52" ht="48" x14ac:dyDescent="0.2">
      <c r="A3" s="7" t="s">
        <v>6</v>
      </c>
      <c r="B3" s="7" t="s">
        <v>21</v>
      </c>
      <c r="C3" s="7" t="s">
        <v>7</v>
      </c>
      <c r="D3" s="7" t="s">
        <v>84</v>
      </c>
      <c r="E3" s="7" t="s">
        <v>17</v>
      </c>
      <c r="F3" s="7" t="s">
        <v>59</v>
      </c>
      <c r="G3" s="7" t="s">
        <v>60</v>
      </c>
      <c r="H3" s="7" t="s">
        <v>9</v>
      </c>
      <c r="J3" s="7" t="s">
        <v>6</v>
      </c>
      <c r="K3" s="7" t="s">
        <v>21</v>
      </c>
      <c r="L3" s="7" t="s">
        <v>7</v>
      </c>
      <c r="M3" s="7" t="s">
        <v>84</v>
      </c>
      <c r="N3" s="7" t="s">
        <v>17</v>
      </c>
      <c r="O3" s="7" t="s">
        <v>59</v>
      </c>
      <c r="P3" s="7" t="s">
        <v>60</v>
      </c>
      <c r="Q3" s="7" t="s">
        <v>9</v>
      </c>
    </row>
    <row r="4" spans="1:52" x14ac:dyDescent="0.2">
      <c r="A4">
        <v>6</v>
      </c>
      <c r="B4" t="s">
        <v>2</v>
      </c>
      <c r="C4" t="s">
        <v>25</v>
      </c>
      <c r="D4">
        <v>0</v>
      </c>
      <c r="E4">
        <v>2.1650000000001057E-2</v>
      </c>
      <c r="F4">
        <f t="shared" ref="F4:F35" si="0">E4*1000</f>
        <v>21.650000000001057</v>
      </c>
      <c r="G4">
        <f t="shared" ref="G4:G35" si="1">D4/F4</f>
        <v>0</v>
      </c>
      <c r="H4" t="s">
        <v>27</v>
      </c>
      <c r="J4">
        <v>6</v>
      </c>
      <c r="K4" t="s">
        <v>2</v>
      </c>
      <c r="L4" t="s">
        <v>25</v>
      </c>
      <c r="M4">
        <v>0</v>
      </c>
      <c r="N4">
        <v>2.1649999999999999E-2</v>
      </c>
      <c r="O4">
        <v>21.65</v>
      </c>
      <c r="P4">
        <v>0</v>
      </c>
      <c r="Q4" t="s">
        <v>27</v>
      </c>
      <c r="S4" t="s">
        <v>238</v>
      </c>
      <c r="AD4" t="s">
        <v>239</v>
      </c>
      <c r="AX4" t="s">
        <v>4</v>
      </c>
      <c r="AY4" t="s">
        <v>265</v>
      </c>
      <c r="AZ4" t="s">
        <v>264</v>
      </c>
    </row>
    <row r="5" spans="1:52" x14ac:dyDescent="0.2">
      <c r="A5">
        <v>10</v>
      </c>
      <c r="B5" t="s">
        <v>2</v>
      </c>
      <c r="C5" t="s">
        <v>29</v>
      </c>
      <c r="D5">
        <v>944.79241999999999</v>
      </c>
      <c r="E5">
        <v>1.8620000000000303E-2</v>
      </c>
      <c r="F5">
        <f t="shared" si="0"/>
        <v>18.620000000000303</v>
      </c>
      <c r="G5">
        <f t="shared" si="1"/>
        <v>50.740731471535156</v>
      </c>
      <c r="H5" t="s">
        <v>27</v>
      </c>
      <c r="J5">
        <v>10</v>
      </c>
      <c r="K5" t="s">
        <v>2</v>
      </c>
      <c r="L5" t="s">
        <v>29</v>
      </c>
      <c r="M5">
        <v>944.79241999999999</v>
      </c>
      <c r="N5">
        <v>1.8620000000000001E-2</v>
      </c>
      <c r="O5">
        <v>18.62</v>
      </c>
      <c r="P5">
        <v>50.74073147</v>
      </c>
      <c r="Q5" t="s">
        <v>27</v>
      </c>
      <c r="AP5" t="s">
        <v>1</v>
      </c>
      <c r="AQ5" t="s">
        <v>263</v>
      </c>
      <c r="AR5" t="s">
        <v>264</v>
      </c>
    </row>
    <row r="6" spans="1:52" x14ac:dyDescent="0.2">
      <c r="A6">
        <v>15</v>
      </c>
      <c r="B6" t="s">
        <v>2</v>
      </c>
      <c r="C6" t="s">
        <v>29</v>
      </c>
      <c r="D6">
        <v>0</v>
      </c>
      <c r="E6">
        <v>1.9729999999999137E-2</v>
      </c>
      <c r="F6">
        <f t="shared" si="0"/>
        <v>19.729999999999137</v>
      </c>
      <c r="G6">
        <f t="shared" si="1"/>
        <v>0</v>
      </c>
      <c r="H6" t="s">
        <v>33</v>
      </c>
      <c r="J6">
        <v>15</v>
      </c>
      <c r="K6" t="s">
        <v>2</v>
      </c>
      <c r="L6" t="s">
        <v>29</v>
      </c>
      <c r="M6">
        <v>0</v>
      </c>
      <c r="N6">
        <v>1.9730000000000001E-2</v>
      </c>
      <c r="O6">
        <v>19.73</v>
      </c>
      <c r="P6">
        <v>0</v>
      </c>
      <c r="Q6" t="s">
        <v>33</v>
      </c>
      <c r="S6" t="s">
        <v>202</v>
      </c>
    </row>
    <row r="7" spans="1:52" x14ac:dyDescent="0.2">
      <c r="A7">
        <v>17</v>
      </c>
      <c r="B7" t="s">
        <v>2</v>
      </c>
      <c r="C7" t="s">
        <v>35</v>
      </c>
      <c r="D7">
        <v>0</v>
      </c>
      <c r="E7">
        <v>1.9610000000000127E-2</v>
      </c>
      <c r="F7">
        <f t="shared" si="0"/>
        <v>19.610000000000127</v>
      </c>
      <c r="G7">
        <f t="shared" si="1"/>
        <v>0</v>
      </c>
      <c r="H7" t="s">
        <v>27</v>
      </c>
      <c r="J7">
        <v>17</v>
      </c>
      <c r="K7" t="s">
        <v>2</v>
      </c>
      <c r="L7" t="s">
        <v>35</v>
      </c>
      <c r="M7">
        <v>0</v>
      </c>
      <c r="N7">
        <v>1.9609999999999999E-2</v>
      </c>
      <c r="O7">
        <v>19.61</v>
      </c>
      <c r="P7">
        <v>0</v>
      </c>
      <c r="Q7" t="s">
        <v>27</v>
      </c>
    </row>
    <row r="8" spans="1:52" x14ac:dyDescent="0.2">
      <c r="A8">
        <v>20</v>
      </c>
      <c r="B8" t="s">
        <v>2</v>
      </c>
      <c r="C8" t="s">
        <v>29</v>
      </c>
      <c r="D8">
        <v>1064.7192399999999</v>
      </c>
      <c r="E8">
        <v>1.9590000000000884E-2</v>
      </c>
      <c r="F8">
        <f t="shared" si="0"/>
        <v>19.590000000000884</v>
      </c>
      <c r="G8">
        <f t="shared" si="1"/>
        <v>54.350139867276766</v>
      </c>
      <c r="H8" t="s">
        <v>33</v>
      </c>
      <c r="J8">
        <v>20</v>
      </c>
      <c r="K8" t="s">
        <v>2</v>
      </c>
      <c r="L8" t="s">
        <v>29</v>
      </c>
      <c r="M8">
        <v>1064.7192399999999</v>
      </c>
      <c r="N8">
        <v>1.959E-2</v>
      </c>
      <c r="O8">
        <v>19.59</v>
      </c>
      <c r="P8">
        <v>54.35013987</v>
      </c>
      <c r="Q8" t="s">
        <v>33</v>
      </c>
      <c r="S8" t="s">
        <v>107</v>
      </c>
    </row>
    <row r="9" spans="1:52" x14ac:dyDescent="0.2">
      <c r="A9">
        <v>23</v>
      </c>
      <c r="B9" t="s">
        <v>2</v>
      </c>
      <c r="C9" t="s">
        <v>29</v>
      </c>
      <c r="D9">
        <v>590.35888999999997</v>
      </c>
      <c r="E9">
        <v>2.4339999999998696E-2</v>
      </c>
      <c r="F9">
        <f t="shared" si="0"/>
        <v>24.339999999998696</v>
      </c>
      <c r="G9">
        <f t="shared" si="1"/>
        <v>24.254679129007052</v>
      </c>
      <c r="H9" t="s">
        <v>27</v>
      </c>
      <c r="J9">
        <v>23</v>
      </c>
      <c r="K9" t="s">
        <v>2</v>
      </c>
      <c r="L9" t="s">
        <v>29</v>
      </c>
      <c r="M9">
        <v>590.35888999999997</v>
      </c>
      <c r="N9">
        <v>2.4340000000000001E-2</v>
      </c>
      <c r="O9">
        <v>24.34</v>
      </c>
      <c r="P9">
        <v>24.25467913</v>
      </c>
      <c r="Q9" t="s">
        <v>27</v>
      </c>
      <c r="S9">
        <v>5</v>
      </c>
      <c r="AD9" t="s">
        <v>240</v>
      </c>
    </row>
    <row r="10" spans="1:52" x14ac:dyDescent="0.2">
      <c r="A10">
        <v>25</v>
      </c>
      <c r="B10" t="s">
        <v>2</v>
      </c>
      <c r="C10" t="s">
        <v>29</v>
      </c>
      <c r="D10">
        <v>911.75365999999997</v>
      </c>
      <c r="E10">
        <v>1.9569999999999865E-2</v>
      </c>
      <c r="F10">
        <f t="shared" si="0"/>
        <v>19.569999999999865</v>
      </c>
      <c r="G10">
        <f t="shared" si="1"/>
        <v>46.589354113439256</v>
      </c>
      <c r="H10" t="s">
        <v>33</v>
      </c>
      <c r="J10">
        <v>25</v>
      </c>
      <c r="K10" t="s">
        <v>2</v>
      </c>
      <c r="L10" t="s">
        <v>29</v>
      </c>
      <c r="M10">
        <v>911.75365999999997</v>
      </c>
      <c r="N10">
        <v>1.9570000000000001E-2</v>
      </c>
      <c r="O10">
        <v>19.57</v>
      </c>
      <c r="P10">
        <v>46.589354110000002</v>
      </c>
      <c r="Q10" t="s">
        <v>33</v>
      </c>
    </row>
    <row r="11" spans="1:52" x14ac:dyDescent="0.2">
      <c r="A11">
        <v>31</v>
      </c>
      <c r="B11" t="s">
        <v>2</v>
      </c>
      <c r="C11" t="s">
        <v>29</v>
      </c>
      <c r="D11">
        <v>507.21431999999999</v>
      </c>
      <c r="E11">
        <v>2.1369999999999223E-2</v>
      </c>
      <c r="F11">
        <f t="shared" si="0"/>
        <v>21.369999999999223</v>
      </c>
      <c r="G11">
        <f t="shared" si="1"/>
        <v>23.73487693027695</v>
      </c>
      <c r="H11" t="s">
        <v>33</v>
      </c>
      <c r="J11">
        <v>31</v>
      </c>
      <c r="K11" t="s">
        <v>2</v>
      </c>
      <c r="L11" t="s">
        <v>29</v>
      </c>
      <c r="M11">
        <v>507.21431999999999</v>
      </c>
      <c r="N11">
        <v>2.137E-2</v>
      </c>
      <c r="O11">
        <v>21.37</v>
      </c>
      <c r="P11">
        <v>23.734876929999999</v>
      </c>
      <c r="Q11" t="s">
        <v>33</v>
      </c>
      <c r="AD11" t="s">
        <v>107</v>
      </c>
    </row>
    <row r="12" spans="1:52" x14ac:dyDescent="0.2">
      <c r="A12">
        <v>42</v>
      </c>
      <c r="B12" t="s">
        <v>3</v>
      </c>
      <c r="C12" t="s">
        <v>29</v>
      </c>
      <c r="D12">
        <v>683.39209000000005</v>
      </c>
      <c r="E12">
        <v>1.8779999999999575E-2</v>
      </c>
      <c r="F12">
        <f t="shared" si="0"/>
        <v>18.779999999999575</v>
      </c>
      <c r="G12">
        <f t="shared" si="1"/>
        <v>36.38935516507005</v>
      </c>
      <c r="H12" t="s">
        <v>33</v>
      </c>
      <c r="J12">
        <v>42</v>
      </c>
      <c r="K12" t="s">
        <v>3</v>
      </c>
      <c r="L12" t="s">
        <v>29</v>
      </c>
      <c r="M12">
        <v>683.39209000000005</v>
      </c>
      <c r="N12">
        <v>1.8780000000000002E-2</v>
      </c>
      <c r="O12">
        <v>18.78</v>
      </c>
      <c r="P12">
        <v>36.389355170000002</v>
      </c>
      <c r="Q12" t="s">
        <v>33</v>
      </c>
      <c r="S12" t="s">
        <v>193</v>
      </c>
      <c r="AD12">
        <v>6</v>
      </c>
    </row>
    <row r="13" spans="1:52" x14ac:dyDescent="0.2">
      <c r="A13">
        <v>43</v>
      </c>
      <c r="B13" t="s">
        <v>2</v>
      </c>
      <c r="C13" t="s">
        <v>25</v>
      </c>
      <c r="D13">
        <v>0</v>
      </c>
      <c r="E13">
        <v>2.1509999999999252E-2</v>
      </c>
      <c r="F13">
        <f t="shared" si="0"/>
        <v>21.509999999999252</v>
      </c>
      <c r="G13">
        <f t="shared" si="1"/>
        <v>0</v>
      </c>
      <c r="H13" t="s">
        <v>33</v>
      </c>
      <c r="J13">
        <v>43</v>
      </c>
      <c r="K13" t="s">
        <v>2</v>
      </c>
      <c r="L13" t="s">
        <v>25</v>
      </c>
      <c r="M13">
        <v>0</v>
      </c>
      <c r="N13">
        <v>2.1510000000000001E-2</v>
      </c>
      <c r="O13">
        <v>21.51</v>
      </c>
      <c r="P13">
        <v>0</v>
      </c>
      <c r="Q13" t="s">
        <v>33</v>
      </c>
    </row>
    <row r="14" spans="1:52" x14ac:dyDescent="0.2">
      <c r="A14">
        <v>47</v>
      </c>
      <c r="B14" t="s">
        <v>2</v>
      </c>
      <c r="C14" t="s">
        <v>29</v>
      </c>
      <c r="D14">
        <v>497.15487999999999</v>
      </c>
      <c r="E14">
        <v>2.1369999999999223E-2</v>
      </c>
      <c r="F14">
        <f t="shared" si="0"/>
        <v>21.369999999999223</v>
      </c>
      <c r="G14">
        <f t="shared" si="1"/>
        <v>23.2641497426307</v>
      </c>
      <c r="H14" t="s">
        <v>33</v>
      </c>
      <c r="J14">
        <v>47</v>
      </c>
      <c r="K14" t="s">
        <v>2</v>
      </c>
      <c r="L14" t="s">
        <v>29</v>
      </c>
      <c r="M14">
        <v>497.15487999999999</v>
      </c>
      <c r="N14">
        <v>2.137E-2</v>
      </c>
      <c r="O14">
        <v>21.37</v>
      </c>
      <c r="P14">
        <v>23.264149740000001</v>
      </c>
      <c r="Q14" t="s">
        <v>33</v>
      </c>
      <c r="S14" t="s">
        <v>158</v>
      </c>
      <c r="T14" t="s">
        <v>82</v>
      </c>
      <c r="U14" t="s">
        <v>194</v>
      </c>
      <c r="V14" t="s">
        <v>195</v>
      </c>
      <c r="W14" t="s">
        <v>196</v>
      </c>
      <c r="X14" t="s">
        <v>197</v>
      </c>
    </row>
    <row r="15" spans="1:52" x14ac:dyDescent="0.2">
      <c r="A15">
        <v>48</v>
      </c>
      <c r="B15" t="s">
        <v>2</v>
      </c>
      <c r="C15" t="s">
        <v>25</v>
      </c>
      <c r="D15">
        <v>0</v>
      </c>
      <c r="E15">
        <v>2.5490000000001345E-2</v>
      </c>
      <c r="F15">
        <f t="shared" si="0"/>
        <v>25.490000000001345</v>
      </c>
      <c r="G15">
        <f t="shared" si="1"/>
        <v>0</v>
      </c>
      <c r="H15" t="s">
        <v>33</v>
      </c>
      <c r="J15">
        <v>48</v>
      </c>
      <c r="K15" t="s">
        <v>2</v>
      </c>
      <c r="L15" t="s">
        <v>25</v>
      </c>
      <c r="M15">
        <v>0</v>
      </c>
      <c r="N15">
        <v>2.5489999999999999E-2</v>
      </c>
      <c r="O15">
        <v>25.49</v>
      </c>
      <c r="P15">
        <v>0</v>
      </c>
      <c r="Q15" t="s">
        <v>33</v>
      </c>
      <c r="S15" t="s">
        <v>2</v>
      </c>
      <c r="T15">
        <v>31</v>
      </c>
      <c r="U15">
        <v>883</v>
      </c>
      <c r="V15">
        <v>1023</v>
      </c>
      <c r="W15">
        <v>28.483899999999998</v>
      </c>
      <c r="X15">
        <v>-1.8440000000000001</v>
      </c>
      <c r="AD15" t="s">
        <v>193</v>
      </c>
    </row>
    <row r="16" spans="1:52" x14ac:dyDescent="0.2">
      <c r="A16">
        <v>50</v>
      </c>
      <c r="B16" t="s">
        <v>2</v>
      </c>
      <c r="C16" t="s">
        <v>35</v>
      </c>
      <c r="D16">
        <v>491.60836999999998</v>
      </c>
      <c r="E16">
        <v>2.9019999999999158E-2</v>
      </c>
      <c r="F16">
        <f t="shared" si="0"/>
        <v>29.019999999999158</v>
      </c>
      <c r="G16">
        <f t="shared" si="1"/>
        <v>16.940329772571133</v>
      </c>
      <c r="H16" t="s">
        <v>27</v>
      </c>
      <c r="J16">
        <v>50</v>
      </c>
      <c r="K16" t="s">
        <v>2</v>
      </c>
      <c r="L16" t="s">
        <v>35</v>
      </c>
      <c r="M16">
        <v>491.60836999999998</v>
      </c>
      <c r="N16">
        <v>2.9020000000000001E-2</v>
      </c>
      <c r="O16">
        <v>29.02</v>
      </c>
      <c r="P16">
        <v>16.940329770000002</v>
      </c>
      <c r="Q16" t="s">
        <v>27</v>
      </c>
      <c r="S16" t="s">
        <v>3</v>
      </c>
      <c r="T16">
        <v>34</v>
      </c>
      <c r="U16">
        <v>1262</v>
      </c>
      <c r="V16">
        <v>1122</v>
      </c>
      <c r="W16">
        <v>37.117600000000003</v>
      </c>
      <c r="X16">
        <v>1.8440000000000001</v>
      </c>
    </row>
    <row r="17" spans="1:35" x14ac:dyDescent="0.2">
      <c r="A17">
        <v>53</v>
      </c>
      <c r="B17" t="s">
        <v>2</v>
      </c>
      <c r="C17" t="s">
        <v>29</v>
      </c>
      <c r="D17">
        <v>1009.45947</v>
      </c>
      <c r="E17">
        <v>2.2980000000000445E-2</v>
      </c>
      <c r="F17">
        <f t="shared" si="0"/>
        <v>22.980000000000445</v>
      </c>
      <c r="G17">
        <f t="shared" si="1"/>
        <v>43.927740208876436</v>
      </c>
      <c r="H17" t="s">
        <v>27</v>
      </c>
      <c r="J17">
        <v>53</v>
      </c>
      <c r="K17" t="s">
        <v>2</v>
      </c>
      <c r="L17" t="s">
        <v>29</v>
      </c>
      <c r="M17">
        <v>1009.45947</v>
      </c>
      <c r="N17">
        <v>2.298E-2</v>
      </c>
      <c r="O17">
        <v>22.98</v>
      </c>
      <c r="P17">
        <v>43.927740210000003</v>
      </c>
      <c r="Q17" t="s">
        <v>27</v>
      </c>
      <c r="AD17" t="s">
        <v>158</v>
      </c>
      <c r="AE17" t="s">
        <v>82</v>
      </c>
      <c r="AF17" t="s">
        <v>194</v>
      </c>
      <c r="AG17" t="s">
        <v>195</v>
      </c>
      <c r="AH17" t="s">
        <v>196</v>
      </c>
      <c r="AI17" t="s">
        <v>197</v>
      </c>
    </row>
    <row r="18" spans="1:35" x14ac:dyDescent="0.2">
      <c r="A18">
        <v>54</v>
      </c>
      <c r="B18" t="s">
        <v>3</v>
      </c>
      <c r="C18" t="s">
        <v>29</v>
      </c>
      <c r="D18">
        <v>1716.3057899999999</v>
      </c>
      <c r="E18">
        <v>1.9189999999998264E-2</v>
      </c>
      <c r="F18">
        <f t="shared" si="0"/>
        <v>19.189999999998264</v>
      </c>
      <c r="G18">
        <f t="shared" si="1"/>
        <v>89.437508598236334</v>
      </c>
      <c r="H18" t="s">
        <v>27</v>
      </c>
      <c r="J18">
        <v>54</v>
      </c>
      <c r="K18" t="s">
        <v>3</v>
      </c>
      <c r="L18" t="s">
        <v>29</v>
      </c>
      <c r="M18">
        <v>1716.3057899999999</v>
      </c>
      <c r="N18">
        <v>1.9189999999999999E-2</v>
      </c>
      <c r="O18">
        <v>19.190000000000001</v>
      </c>
      <c r="P18">
        <v>89.437508600000001</v>
      </c>
      <c r="Q18" t="s">
        <v>27</v>
      </c>
      <c r="AD18" t="s">
        <v>29</v>
      </c>
      <c r="AE18">
        <v>65</v>
      </c>
      <c r="AF18">
        <v>6178</v>
      </c>
      <c r="AG18">
        <v>5395</v>
      </c>
      <c r="AH18">
        <v>95.046199999999999</v>
      </c>
      <c r="AI18">
        <v>2.6779999999999999</v>
      </c>
    </row>
    <row r="19" spans="1:35" x14ac:dyDescent="0.2">
      <c r="A19">
        <v>55</v>
      </c>
      <c r="B19" t="s">
        <v>2</v>
      </c>
      <c r="C19" t="s">
        <v>29</v>
      </c>
      <c r="D19">
        <v>771.60961999999995</v>
      </c>
      <c r="E19">
        <v>2.0329999999999515E-2</v>
      </c>
      <c r="F19">
        <f t="shared" si="0"/>
        <v>20.329999999999515</v>
      </c>
      <c r="G19">
        <f t="shared" si="1"/>
        <v>37.954236104280291</v>
      </c>
      <c r="H19" t="s">
        <v>33</v>
      </c>
      <c r="J19">
        <v>55</v>
      </c>
      <c r="K19" t="s">
        <v>2</v>
      </c>
      <c r="L19" t="s">
        <v>29</v>
      </c>
      <c r="M19">
        <v>771.60961999999995</v>
      </c>
      <c r="N19">
        <v>2.0330000000000001E-2</v>
      </c>
      <c r="O19">
        <v>20.329999999999998</v>
      </c>
      <c r="P19">
        <v>37.954236100000003</v>
      </c>
      <c r="Q19" t="s">
        <v>33</v>
      </c>
      <c r="AD19" t="s">
        <v>25</v>
      </c>
      <c r="AE19">
        <v>49</v>
      </c>
      <c r="AF19">
        <v>3160</v>
      </c>
      <c r="AG19">
        <v>4067</v>
      </c>
      <c r="AH19">
        <v>64.489800000000002</v>
      </c>
      <c r="AI19">
        <v>-3.3180000000000001</v>
      </c>
    </row>
    <row r="20" spans="1:35" x14ac:dyDescent="0.2">
      <c r="A20">
        <v>56</v>
      </c>
      <c r="B20" t="s">
        <v>2</v>
      </c>
      <c r="C20" t="s">
        <v>35</v>
      </c>
      <c r="D20">
        <v>0</v>
      </c>
      <c r="E20">
        <v>2.0039999999999836E-2</v>
      </c>
      <c r="F20">
        <f t="shared" si="0"/>
        <v>20.039999999999836</v>
      </c>
      <c r="G20">
        <f t="shared" si="1"/>
        <v>0</v>
      </c>
      <c r="H20" t="s">
        <v>27</v>
      </c>
      <c r="J20">
        <v>56</v>
      </c>
      <c r="K20" t="s">
        <v>2</v>
      </c>
      <c r="L20" t="s">
        <v>35</v>
      </c>
      <c r="M20">
        <v>0</v>
      </c>
      <c r="N20">
        <v>2.0039999999999999E-2</v>
      </c>
      <c r="O20">
        <v>20.04</v>
      </c>
      <c r="P20">
        <v>0</v>
      </c>
      <c r="Q20" t="s">
        <v>27</v>
      </c>
      <c r="AD20" t="s">
        <v>35</v>
      </c>
      <c r="AE20">
        <v>51</v>
      </c>
      <c r="AF20">
        <v>4357</v>
      </c>
      <c r="AG20">
        <v>4233</v>
      </c>
      <c r="AH20">
        <v>85.431399999999996</v>
      </c>
      <c r="AI20">
        <v>0.44700000000000001</v>
      </c>
    </row>
    <row r="21" spans="1:35" x14ac:dyDescent="0.2">
      <c r="A21">
        <v>57</v>
      </c>
      <c r="B21" t="s">
        <v>2</v>
      </c>
      <c r="C21" t="s">
        <v>35</v>
      </c>
      <c r="D21">
        <v>948.59014999999999</v>
      </c>
      <c r="E21">
        <v>1.872000000000007E-2</v>
      </c>
      <c r="F21">
        <f t="shared" si="0"/>
        <v>18.72000000000007</v>
      </c>
      <c r="G21">
        <f t="shared" si="1"/>
        <v>50.672550747863056</v>
      </c>
      <c r="H21" t="s">
        <v>27</v>
      </c>
      <c r="J21">
        <v>57</v>
      </c>
      <c r="K21" t="s">
        <v>2</v>
      </c>
      <c r="L21" t="s">
        <v>35</v>
      </c>
      <c r="M21">
        <v>948.59014999999999</v>
      </c>
      <c r="N21">
        <v>1.8720000000000001E-2</v>
      </c>
      <c r="O21">
        <v>18.72</v>
      </c>
      <c r="P21">
        <v>50.672550749999999</v>
      </c>
      <c r="Q21" t="s">
        <v>27</v>
      </c>
      <c r="S21" t="s">
        <v>203</v>
      </c>
    </row>
    <row r="22" spans="1:35" x14ac:dyDescent="0.2">
      <c r="A22">
        <v>60</v>
      </c>
      <c r="B22" t="s">
        <v>2</v>
      </c>
      <c r="C22" t="s">
        <v>35</v>
      </c>
      <c r="D22">
        <v>1058.7412099999999</v>
      </c>
      <c r="E22">
        <v>2.3970000000000269E-2</v>
      </c>
      <c r="F22">
        <f t="shared" si="0"/>
        <v>23.970000000000269</v>
      </c>
      <c r="G22">
        <f t="shared" si="1"/>
        <v>44.169428869419612</v>
      </c>
      <c r="H22" t="s">
        <v>27</v>
      </c>
      <c r="J22">
        <v>60</v>
      </c>
      <c r="K22" t="s">
        <v>2</v>
      </c>
      <c r="L22" t="s">
        <v>35</v>
      </c>
      <c r="M22">
        <v>1058.7412099999999</v>
      </c>
      <c r="N22">
        <v>2.3970000000000002E-2</v>
      </c>
      <c r="O22">
        <v>23.97</v>
      </c>
      <c r="P22">
        <v>44.169428869999997</v>
      </c>
      <c r="Q22" t="s">
        <v>27</v>
      </c>
    </row>
    <row r="23" spans="1:35" x14ac:dyDescent="0.2">
      <c r="A23">
        <v>63</v>
      </c>
      <c r="B23" t="s">
        <v>3</v>
      </c>
      <c r="C23" t="s">
        <v>35</v>
      </c>
      <c r="D23">
        <v>964.98431000000005</v>
      </c>
      <c r="E23">
        <v>2.0870000000000388E-2</v>
      </c>
      <c r="F23">
        <f t="shared" si="0"/>
        <v>20.870000000000388</v>
      </c>
      <c r="G23">
        <f t="shared" si="1"/>
        <v>46.23786823191098</v>
      </c>
      <c r="H23" t="s">
        <v>27</v>
      </c>
      <c r="J23">
        <v>63</v>
      </c>
      <c r="K23" t="s">
        <v>3</v>
      </c>
      <c r="L23" t="s">
        <v>35</v>
      </c>
      <c r="M23">
        <v>964.98431000000005</v>
      </c>
      <c r="N23">
        <v>2.087E-2</v>
      </c>
      <c r="O23">
        <v>20.87</v>
      </c>
      <c r="P23">
        <v>46.237868229999997</v>
      </c>
      <c r="Q23" t="s">
        <v>27</v>
      </c>
      <c r="S23" t="s">
        <v>204</v>
      </c>
      <c r="T23" t="s">
        <v>205</v>
      </c>
      <c r="U23" t="s">
        <v>206</v>
      </c>
    </row>
    <row r="24" spans="1:35" x14ac:dyDescent="0.2">
      <c r="A24">
        <v>64</v>
      </c>
      <c r="B24" t="s">
        <v>3</v>
      </c>
      <c r="C24" t="s">
        <v>29</v>
      </c>
      <c r="D24">
        <v>4288.7622099999999</v>
      </c>
      <c r="E24">
        <v>1.7830000000000013E-2</v>
      </c>
      <c r="F24">
        <f t="shared" si="0"/>
        <v>17.830000000000013</v>
      </c>
      <c r="G24" s="23">
        <f t="shared" si="1"/>
        <v>240.53629893438008</v>
      </c>
      <c r="H24" t="s">
        <v>27</v>
      </c>
      <c r="J24">
        <v>64</v>
      </c>
      <c r="K24" t="s">
        <v>3</v>
      </c>
      <c r="L24" t="s">
        <v>29</v>
      </c>
      <c r="M24">
        <v>4288.7622099999999</v>
      </c>
      <c r="N24">
        <v>1.7829999999999999E-2</v>
      </c>
      <c r="O24">
        <v>17.829999999999998</v>
      </c>
      <c r="Q24" t="s">
        <v>27</v>
      </c>
      <c r="S24">
        <v>883</v>
      </c>
      <c r="T24">
        <v>-1.84351</v>
      </c>
      <c r="U24">
        <v>6.5299999999999997E-2</v>
      </c>
    </row>
    <row r="25" spans="1:35" x14ac:dyDescent="0.2">
      <c r="A25">
        <v>70</v>
      </c>
      <c r="B25" t="s">
        <v>3</v>
      </c>
      <c r="C25" t="s">
        <v>35</v>
      </c>
      <c r="D25">
        <v>1223.5876499999999</v>
      </c>
      <c r="E25">
        <v>2.1380000000000621E-2</v>
      </c>
      <c r="F25">
        <f t="shared" si="0"/>
        <v>21.380000000000621</v>
      </c>
      <c r="G25">
        <f t="shared" si="1"/>
        <v>57.230479420017048</v>
      </c>
      <c r="H25" t="s">
        <v>27</v>
      </c>
      <c r="J25">
        <v>70</v>
      </c>
      <c r="K25" t="s">
        <v>3</v>
      </c>
      <c r="L25" t="s">
        <v>35</v>
      </c>
      <c r="M25">
        <v>1223.5876499999999</v>
      </c>
      <c r="N25">
        <v>2.138E-2</v>
      </c>
      <c r="O25">
        <v>21.38</v>
      </c>
      <c r="P25">
        <v>57.230479420000002</v>
      </c>
      <c r="Q25" t="s">
        <v>27</v>
      </c>
      <c r="AD25" t="s">
        <v>198</v>
      </c>
    </row>
    <row r="26" spans="1:35" x14ac:dyDescent="0.2">
      <c r="A26">
        <v>71</v>
      </c>
      <c r="B26" t="s">
        <v>3</v>
      </c>
      <c r="C26" t="s">
        <v>35</v>
      </c>
      <c r="D26">
        <v>985.42229999999995</v>
      </c>
      <c r="E26">
        <v>1.7899999999999139E-2</v>
      </c>
      <c r="F26">
        <f t="shared" si="0"/>
        <v>17.899999999999139</v>
      </c>
      <c r="G26">
        <f t="shared" si="1"/>
        <v>55.051525139667447</v>
      </c>
      <c r="H26" t="s">
        <v>27</v>
      </c>
      <c r="J26">
        <v>71</v>
      </c>
      <c r="K26" t="s">
        <v>3</v>
      </c>
      <c r="L26" t="s">
        <v>35</v>
      </c>
      <c r="M26">
        <v>985.42229999999995</v>
      </c>
      <c r="N26">
        <v>1.7899999999999999E-2</v>
      </c>
      <c r="O26">
        <v>17.899999999999999</v>
      </c>
      <c r="P26">
        <v>55.051525140000003</v>
      </c>
      <c r="Q26" t="s">
        <v>27</v>
      </c>
    </row>
    <row r="27" spans="1:35" x14ac:dyDescent="0.2">
      <c r="A27">
        <v>72</v>
      </c>
      <c r="B27" t="s">
        <v>2</v>
      </c>
      <c r="C27" t="s">
        <v>25</v>
      </c>
      <c r="D27">
        <v>0</v>
      </c>
      <c r="E27">
        <v>2.4480000000000501E-2</v>
      </c>
      <c r="F27">
        <f t="shared" si="0"/>
        <v>24.480000000000501</v>
      </c>
      <c r="G27">
        <f t="shared" si="1"/>
        <v>0</v>
      </c>
      <c r="H27" t="s">
        <v>27</v>
      </c>
      <c r="J27">
        <v>72</v>
      </c>
      <c r="K27" t="s">
        <v>2</v>
      </c>
      <c r="L27" t="s">
        <v>25</v>
      </c>
      <c r="M27">
        <v>0</v>
      </c>
      <c r="N27">
        <v>2.4479999999999998E-2</v>
      </c>
      <c r="O27">
        <v>24.48</v>
      </c>
      <c r="P27">
        <v>0</v>
      </c>
      <c r="Q27" t="s">
        <v>27</v>
      </c>
      <c r="AD27" t="s">
        <v>199</v>
      </c>
      <c r="AE27" t="s">
        <v>114</v>
      </c>
      <c r="AF27" t="s">
        <v>200</v>
      </c>
    </row>
    <row r="28" spans="1:35" x14ac:dyDescent="0.2">
      <c r="A28">
        <v>74</v>
      </c>
      <c r="B28" t="s">
        <v>2</v>
      </c>
      <c r="C28" t="s">
        <v>25</v>
      </c>
      <c r="D28">
        <v>0</v>
      </c>
      <c r="E28">
        <v>2.5190000000000268E-2</v>
      </c>
      <c r="F28">
        <f t="shared" si="0"/>
        <v>25.190000000000268</v>
      </c>
      <c r="G28">
        <f t="shared" si="1"/>
        <v>0</v>
      </c>
      <c r="H28" t="s">
        <v>27</v>
      </c>
      <c r="J28">
        <v>74</v>
      </c>
      <c r="K28" t="s">
        <v>2</v>
      </c>
      <c r="L28" t="s">
        <v>25</v>
      </c>
      <c r="M28">
        <v>0</v>
      </c>
      <c r="N28">
        <v>2.5190000000000001E-2</v>
      </c>
      <c r="O28">
        <v>25.19</v>
      </c>
      <c r="P28">
        <v>0</v>
      </c>
      <c r="Q28" t="s">
        <v>27</v>
      </c>
      <c r="AD28">
        <v>12.238099999999999</v>
      </c>
      <c r="AE28">
        <v>2</v>
      </c>
      <c r="AF28" s="23">
        <v>2.2000000000000001E-3</v>
      </c>
    </row>
    <row r="29" spans="1:35" x14ac:dyDescent="0.2">
      <c r="A29">
        <v>80</v>
      </c>
      <c r="B29" t="s">
        <v>2</v>
      </c>
      <c r="C29" t="s">
        <v>35</v>
      </c>
      <c r="D29">
        <v>0</v>
      </c>
      <c r="E29">
        <v>2.3870000000000502E-2</v>
      </c>
      <c r="F29">
        <f t="shared" si="0"/>
        <v>23.870000000000502</v>
      </c>
      <c r="G29">
        <f t="shared" si="1"/>
        <v>0</v>
      </c>
      <c r="H29" t="s">
        <v>27</v>
      </c>
      <c r="J29">
        <v>80</v>
      </c>
      <c r="K29" t="s">
        <v>2</v>
      </c>
      <c r="L29" t="s">
        <v>35</v>
      </c>
      <c r="M29">
        <v>0</v>
      </c>
      <c r="N29">
        <v>2.3869999999999999E-2</v>
      </c>
      <c r="O29">
        <v>23.87</v>
      </c>
      <c r="P29">
        <v>0</v>
      </c>
      <c r="Q29" t="s">
        <v>27</v>
      </c>
      <c r="S29" t="s">
        <v>198</v>
      </c>
    </row>
    <row r="30" spans="1:35" x14ac:dyDescent="0.2">
      <c r="A30">
        <v>84</v>
      </c>
      <c r="B30" t="s">
        <v>3</v>
      </c>
      <c r="C30" t="s">
        <v>35</v>
      </c>
      <c r="D30">
        <v>1046.6413600000001</v>
      </c>
      <c r="E30">
        <v>2.2650000000000503E-2</v>
      </c>
      <c r="F30">
        <f t="shared" si="0"/>
        <v>22.650000000000503</v>
      </c>
      <c r="G30">
        <f t="shared" si="1"/>
        <v>46.209331567327894</v>
      </c>
      <c r="H30" t="s">
        <v>27</v>
      </c>
      <c r="J30">
        <v>84</v>
      </c>
      <c r="K30" t="s">
        <v>3</v>
      </c>
      <c r="L30" t="s">
        <v>35</v>
      </c>
      <c r="M30">
        <v>1046.6413600000001</v>
      </c>
      <c r="N30">
        <v>2.265E-2</v>
      </c>
      <c r="O30">
        <v>22.65</v>
      </c>
      <c r="P30">
        <v>46.209331570000003</v>
      </c>
      <c r="Q30" t="s">
        <v>27</v>
      </c>
    </row>
    <row r="31" spans="1:35" x14ac:dyDescent="0.2">
      <c r="A31">
        <v>91</v>
      </c>
      <c r="B31" t="s">
        <v>3</v>
      </c>
      <c r="C31" t="s">
        <v>29</v>
      </c>
      <c r="D31">
        <v>704.96942000000001</v>
      </c>
      <c r="E31">
        <v>1.7970000000000041E-2</v>
      </c>
      <c r="F31">
        <f t="shared" si="0"/>
        <v>17.970000000000041</v>
      </c>
      <c r="G31">
        <f t="shared" si="1"/>
        <v>39.230351697273143</v>
      </c>
      <c r="H31" t="s">
        <v>33</v>
      </c>
      <c r="J31">
        <v>91</v>
      </c>
      <c r="K31" t="s">
        <v>3</v>
      </c>
      <c r="L31" t="s">
        <v>29</v>
      </c>
      <c r="M31">
        <v>704.96942000000001</v>
      </c>
      <c r="N31">
        <v>1.797E-2</v>
      </c>
      <c r="O31">
        <v>17.97</v>
      </c>
      <c r="P31">
        <v>39.2303517</v>
      </c>
      <c r="Q31" t="s">
        <v>33</v>
      </c>
      <c r="S31" t="s">
        <v>199</v>
      </c>
      <c r="T31" t="s">
        <v>114</v>
      </c>
      <c r="U31" t="s">
        <v>200</v>
      </c>
    </row>
    <row r="32" spans="1:35" x14ac:dyDescent="0.2">
      <c r="A32">
        <v>93</v>
      </c>
      <c r="B32" t="s">
        <v>3</v>
      </c>
      <c r="C32" t="s">
        <v>35</v>
      </c>
      <c r="D32">
        <v>0</v>
      </c>
      <c r="E32">
        <v>2.1689999999999543E-2</v>
      </c>
      <c r="F32">
        <f t="shared" si="0"/>
        <v>21.689999999999543</v>
      </c>
      <c r="G32">
        <f t="shared" si="1"/>
        <v>0</v>
      </c>
      <c r="H32" t="s">
        <v>27</v>
      </c>
      <c r="J32">
        <v>93</v>
      </c>
      <c r="K32" t="s">
        <v>3</v>
      </c>
      <c r="L32" t="s">
        <v>35</v>
      </c>
      <c r="M32">
        <v>0</v>
      </c>
      <c r="N32">
        <v>2.1690000000000001E-2</v>
      </c>
      <c r="O32">
        <v>21.69</v>
      </c>
      <c r="P32">
        <v>0</v>
      </c>
      <c r="Q32" t="s">
        <v>27</v>
      </c>
      <c r="S32">
        <v>3.4228999999999998</v>
      </c>
      <c r="T32">
        <v>1</v>
      </c>
      <c r="U32" s="23">
        <v>6.4299999999999996E-2</v>
      </c>
    </row>
    <row r="33" spans="1:31" x14ac:dyDescent="0.2">
      <c r="A33">
        <v>96</v>
      </c>
      <c r="B33" t="s">
        <v>2</v>
      </c>
      <c r="C33" t="s">
        <v>35</v>
      </c>
      <c r="D33">
        <v>0</v>
      </c>
      <c r="E33">
        <v>2.1659999999998902E-2</v>
      </c>
      <c r="F33">
        <f t="shared" si="0"/>
        <v>21.659999999998902</v>
      </c>
      <c r="G33">
        <f t="shared" si="1"/>
        <v>0</v>
      </c>
      <c r="H33" t="s">
        <v>27</v>
      </c>
      <c r="J33">
        <v>96</v>
      </c>
      <c r="K33" t="s">
        <v>2</v>
      </c>
      <c r="L33" t="s">
        <v>35</v>
      </c>
      <c r="M33">
        <v>0</v>
      </c>
      <c r="N33">
        <v>2.1659999999999999E-2</v>
      </c>
      <c r="O33">
        <v>21.66</v>
      </c>
      <c r="P33">
        <v>0</v>
      </c>
      <c r="Q33" t="s">
        <v>27</v>
      </c>
      <c r="AD33" t="s">
        <v>164</v>
      </c>
    </row>
    <row r="34" spans="1:31" x14ac:dyDescent="0.2">
      <c r="A34">
        <v>99</v>
      </c>
      <c r="B34" t="s">
        <v>2</v>
      </c>
      <c r="C34" t="s">
        <v>29</v>
      </c>
      <c r="D34">
        <v>0</v>
      </c>
      <c r="E34">
        <v>2.1010000000000417E-2</v>
      </c>
      <c r="F34">
        <f t="shared" si="0"/>
        <v>21.010000000000417</v>
      </c>
      <c r="G34">
        <f t="shared" si="1"/>
        <v>0</v>
      </c>
      <c r="H34" t="s">
        <v>27</v>
      </c>
      <c r="J34">
        <v>99</v>
      </c>
      <c r="K34" t="s">
        <v>2</v>
      </c>
      <c r="L34" t="s">
        <v>29</v>
      </c>
      <c r="M34">
        <v>0</v>
      </c>
      <c r="N34">
        <v>2.1010000000000001E-2</v>
      </c>
      <c r="O34">
        <v>21.01</v>
      </c>
      <c r="P34">
        <v>0</v>
      </c>
      <c r="Q34" t="s">
        <v>27</v>
      </c>
    </row>
    <row r="35" spans="1:31" x14ac:dyDescent="0.2">
      <c r="A35">
        <v>100</v>
      </c>
      <c r="B35" t="s">
        <v>3</v>
      </c>
      <c r="C35" t="s">
        <v>29</v>
      </c>
      <c r="D35">
        <v>716.89721999999995</v>
      </c>
      <c r="E35">
        <v>1.8860000000000099E-2</v>
      </c>
      <c r="F35">
        <f t="shared" si="0"/>
        <v>18.860000000000099</v>
      </c>
      <c r="G35">
        <f t="shared" si="1"/>
        <v>38.011517497348684</v>
      </c>
      <c r="H35" t="s">
        <v>27</v>
      </c>
      <c r="J35">
        <v>100</v>
      </c>
      <c r="K35" t="s">
        <v>3</v>
      </c>
      <c r="L35" t="s">
        <v>29</v>
      </c>
      <c r="M35">
        <v>716.89721999999995</v>
      </c>
      <c r="N35">
        <v>1.8859999999999998E-2</v>
      </c>
      <c r="O35">
        <v>18.86</v>
      </c>
      <c r="P35">
        <v>38.011517499999997</v>
      </c>
      <c r="Q35" t="s">
        <v>27</v>
      </c>
    </row>
    <row r="36" spans="1:31" x14ac:dyDescent="0.2">
      <c r="A36">
        <v>101</v>
      </c>
      <c r="B36" t="s">
        <v>3</v>
      </c>
      <c r="C36" t="s">
        <v>35</v>
      </c>
      <c r="D36">
        <v>1130.29883</v>
      </c>
      <c r="E36">
        <v>2.1950000000000358E-2</v>
      </c>
      <c r="F36">
        <f t="shared" ref="F36:F67" si="2">E36*1000</f>
        <v>21.950000000000358</v>
      </c>
      <c r="G36">
        <f t="shared" ref="G36:G67" si="3">D36/F36</f>
        <v>51.494251936217836</v>
      </c>
      <c r="H36" t="s">
        <v>27</v>
      </c>
      <c r="J36">
        <v>101</v>
      </c>
      <c r="K36" t="s">
        <v>3</v>
      </c>
      <c r="L36" t="s">
        <v>35</v>
      </c>
      <c r="M36">
        <v>1130.29883</v>
      </c>
      <c r="N36">
        <v>2.1950000000000001E-2</v>
      </c>
      <c r="O36">
        <v>21.95</v>
      </c>
      <c r="P36">
        <v>51.494251939999998</v>
      </c>
      <c r="Q36" t="s">
        <v>27</v>
      </c>
      <c r="AD36" t="s">
        <v>165</v>
      </c>
    </row>
    <row r="37" spans="1:31" x14ac:dyDescent="0.2">
      <c r="A37">
        <v>102</v>
      </c>
      <c r="B37" t="s">
        <v>3</v>
      </c>
      <c r="C37" t="s">
        <v>25</v>
      </c>
      <c r="D37">
        <v>0</v>
      </c>
      <c r="E37">
        <v>2.5120000000001141E-2</v>
      </c>
      <c r="F37">
        <f t="shared" si="2"/>
        <v>25.120000000001141</v>
      </c>
      <c r="G37">
        <f t="shared" si="3"/>
        <v>0</v>
      </c>
      <c r="H37" t="s">
        <v>33</v>
      </c>
      <c r="J37">
        <v>102</v>
      </c>
      <c r="K37" t="s">
        <v>3</v>
      </c>
      <c r="L37" t="s">
        <v>25</v>
      </c>
      <c r="M37">
        <v>0</v>
      </c>
      <c r="N37">
        <v>2.512E-2</v>
      </c>
      <c r="O37">
        <v>25.12</v>
      </c>
      <c r="P37">
        <v>0</v>
      </c>
      <c r="Q37" t="s">
        <v>33</v>
      </c>
      <c r="S37" t="s">
        <v>207</v>
      </c>
    </row>
    <row r="38" spans="1:31" x14ac:dyDescent="0.2">
      <c r="A38">
        <v>103</v>
      </c>
      <c r="B38" t="s">
        <v>2</v>
      </c>
      <c r="C38" t="s">
        <v>35</v>
      </c>
      <c r="D38">
        <v>1236.6602800000001</v>
      </c>
      <c r="E38">
        <v>2.5920000000001053E-2</v>
      </c>
      <c r="F38">
        <f t="shared" si="2"/>
        <v>25.920000000001053</v>
      </c>
      <c r="G38">
        <f t="shared" si="3"/>
        <v>47.710658950615347</v>
      </c>
      <c r="H38" t="s">
        <v>27</v>
      </c>
      <c r="J38">
        <v>103</v>
      </c>
      <c r="K38" t="s">
        <v>2</v>
      </c>
      <c r="L38" t="s">
        <v>35</v>
      </c>
      <c r="M38">
        <v>1236.6602800000001</v>
      </c>
      <c r="N38">
        <v>2.5919999999999999E-2</v>
      </c>
      <c r="O38">
        <v>25.92</v>
      </c>
      <c r="P38">
        <v>47.710658950000003</v>
      </c>
      <c r="Q38" t="s">
        <v>27</v>
      </c>
    </row>
    <row r="39" spans="1:31" x14ac:dyDescent="0.2">
      <c r="A39">
        <v>105</v>
      </c>
      <c r="B39" t="s">
        <v>2</v>
      </c>
      <c r="C39" t="s">
        <v>29</v>
      </c>
      <c r="D39">
        <v>1014.24963</v>
      </c>
      <c r="E39">
        <v>2.5079999999999103E-2</v>
      </c>
      <c r="F39">
        <f t="shared" si="2"/>
        <v>25.079999999999103</v>
      </c>
      <c r="G39">
        <f t="shared" si="3"/>
        <v>40.440575358853124</v>
      </c>
      <c r="H39" t="s">
        <v>33</v>
      </c>
      <c r="J39">
        <v>105</v>
      </c>
      <c r="K39" t="s">
        <v>2</v>
      </c>
      <c r="L39" t="s">
        <v>29</v>
      </c>
      <c r="M39">
        <v>1014.24963</v>
      </c>
      <c r="N39">
        <v>2.5080000000000002E-2</v>
      </c>
      <c r="O39">
        <v>25.08</v>
      </c>
      <c r="P39">
        <v>40.440575359999997</v>
      </c>
      <c r="Q39" t="s">
        <v>33</v>
      </c>
      <c r="AD39" t="s">
        <v>166</v>
      </c>
    </row>
    <row r="40" spans="1:31" x14ac:dyDescent="0.2">
      <c r="A40">
        <v>111</v>
      </c>
      <c r="B40" t="s">
        <v>2</v>
      </c>
      <c r="C40" t="s">
        <v>25</v>
      </c>
      <c r="D40">
        <v>495.02096999999998</v>
      </c>
      <c r="E40">
        <v>2.426999999999957E-2</v>
      </c>
      <c r="F40">
        <f t="shared" si="2"/>
        <v>24.26999999999957</v>
      </c>
      <c r="G40">
        <f t="shared" si="3"/>
        <v>20.396414091471314</v>
      </c>
      <c r="H40" t="s">
        <v>33</v>
      </c>
      <c r="J40">
        <v>111</v>
      </c>
      <c r="K40" t="s">
        <v>2</v>
      </c>
      <c r="L40" t="s">
        <v>25</v>
      </c>
      <c r="M40">
        <v>495.02096999999998</v>
      </c>
      <c r="N40">
        <v>2.427E-2</v>
      </c>
      <c r="O40">
        <v>24.27</v>
      </c>
      <c r="P40">
        <v>20.39641409</v>
      </c>
      <c r="Q40" t="s">
        <v>33</v>
      </c>
    </row>
    <row r="41" spans="1:31" x14ac:dyDescent="0.2">
      <c r="A41">
        <v>113</v>
      </c>
      <c r="B41" t="s">
        <v>3</v>
      </c>
      <c r="C41" t="s">
        <v>29</v>
      </c>
      <c r="D41">
        <v>1148.6024199999999</v>
      </c>
      <c r="E41">
        <v>1.8169999999999575E-2</v>
      </c>
      <c r="F41">
        <f t="shared" si="2"/>
        <v>18.169999999999575</v>
      </c>
      <c r="G41">
        <f t="shared" si="3"/>
        <v>63.214222344525417</v>
      </c>
      <c r="H41" t="s">
        <v>27</v>
      </c>
      <c r="J41">
        <v>113</v>
      </c>
      <c r="K41" t="s">
        <v>3</v>
      </c>
      <c r="L41" t="s">
        <v>29</v>
      </c>
      <c r="M41">
        <v>1148.6024199999999</v>
      </c>
      <c r="N41">
        <v>1.8169999999999999E-2</v>
      </c>
      <c r="O41">
        <v>18.170000000000002</v>
      </c>
      <c r="P41">
        <v>63.214222339999999</v>
      </c>
      <c r="Q41" t="s">
        <v>27</v>
      </c>
      <c r="AD41" t="s">
        <v>167</v>
      </c>
      <c r="AE41" t="s">
        <v>168</v>
      </c>
    </row>
    <row r="42" spans="1:31" x14ac:dyDescent="0.2">
      <c r="A42">
        <v>120</v>
      </c>
      <c r="B42" t="s">
        <v>3</v>
      </c>
      <c r="C42" t="s">
        <v>25</v>
      </c>
      <c r="D42">
        <v>0</v>
      </c>
      <c r="E42">
        <v>2.2030000000000882E-2</v>
      </c>
      <c r="F42">
        <f t="shared" si="2"/>
        <v>22.030000000000882</v>
      </c>
      <c r="G42">
        <f t="shared" si="3"/>
        <v>0</v>
      </c>
      <c r="H42" t="s">
        <v>33</v>
      </c>
      <c r="J42">
        <v>120</v>
      </c>
      <c r="K42" t="s">
        <v>3</v>
      </c>
      <c r="L42" t="s">
        <v>25</v>
      </c>
      <c r="M42">
        <v>0</v>
      </c>
      <c r="N42">
        <v>2.2030000000000001E-2</v>
      </c>
      <c r="O42">
        <v>22.03</v>
      </c>
      <c r="P42">
        <v>0</v>
      </c>
      <c r="Q42" t="s">
        <v>33</v>
      </c>
      <c r="S42" t="s">
        <v>193</v>
      </c>
      <c r="AD42">
        <v>2.3654999999999999</v>
      </c>
      <c r="AE42">
        <v>0.05</v>
      </c>
    </row>
    <row r="43" spans="1:31" x14ac:dyDescent="0.2">
      <c r="A43">
        <v>121</v>
      </c>
      <c r="B43" t="s">
        <v>3</v>
      </c>
      <c r="C43" t="s">
        <v>25</v>
      </c>
      <c r="D43">
        <v>0</v>
      </c>
      <c r="E43">
        <v>2.0490000000000563E-2</v>
      </c>
      <c r="F43">
        <f t="shared" si="2"/>
        <v>20.490000000000563</v>
      </c>
      <c r="G43">
        <f t="shared" si="3"/>
        <v>0</v>
      </c>
      <c r="H43" t="s">
        <v>33</v>
      </c>
      <c r="J43">
        <v>121</v>
      </c>
      <c r="K43" t="s">
        <v>3</v>
      </c>
      <c r="L43" t="s">
        <v>25</v>
      </c>
      <c r="M43">
        <v>0</v>
      </c>
      <c r="N43">
        <v>2.0490000000000001E-2</v>
      </c>
      <c r="O43">
        <v>20.49</v>
      </c>
      <c r="P43">
        <v>0</v>
      </c>
      <c r="Q43" t="s">
        <v>33</v>
      </c>
    </row>
    <row r="44" spans="1:31" x14ac:dyDescent="0.2">
      <c r="A44">
        <v>122</v>
      </c>
      <c r="B44" t="s">
        <v>3</v>
      </c>
      <c r="C44" t="s">
        <v>29</v>
      </c>
      <c r="D44">
        <v>2415.83203</v>
      </c>
      <c r="E44">
        <v>1.9090000000000273E-2</v>
      </c>
      <c r="F44">
        <f t="shared" si="2"/>
        <v>19.090000000000273</v>
      </c>
      <c r="G44" s="23">
        <f t="shared" si="3"/>
        <v>126.54960869565036</v>
      </c>
      <c r="H44" t="s">
        <v>33</v>
      </c>
      <c r="J44">
        <v>122</v>
      </c>
      <c r="K44" t="s">
        <v>3</v>
      </c>
      <c r="L44" t="s">
        <v>29</v>
      </c>
      <c r="M44">
        <v>2415.83203</v>
      </c>
      <c r="N44">
        <v>1.9089999999999999E-2</v>
      </c>
      <c r="O44">
        <v>19.09</v>
      </c>
      <c r="Q44" t="s">
        <v>33</v>
      </c>
      <c r="S44" t="s">
        <v>158</v>
      </c>
      <c r="T44" t="s">
        <v>82</v>
      </c>
      <c r="U44" t="s">
        <v>194</v>
      </c>
      <c r="V44" t="s">
        <v>195</v>
      </c>
      <c r="W44" t="s">
        <v>196</v>
      </c>
      <c r="X44" t="s">
        <v>197</v>
      </c>
    </row>
    <row r="45" spans="1:31" x14ac:dyDescent="0.2">
      <c r="A45">
        <v>126</v>
      </c>
      <c r="B45" t="s">
        <v>3</v>
      </c>
      <c r="C45" t="s">
        <v>25</v>
      </c>
      <c r="D45">
        <v>519.38342</v>
      </c>
      <c r="E45">
        <v>1.4190000000001035E-2</v>
      </c>
      <c r="F45">
        <f t="shared" si="2"/>
        <v>14.190000000001035</v>
      </c>
      <c r="G45">
        <f t="shared" si="3"/>
        <v>36.602073291047368</v>
      </c>
      <c r="H45" t="s">
        <v>27</v>
      </c>
      <c r="J45">
        <v>126</v>
      </c>
      <c r="K45" t="s">
        <v>3</v>
      </c>
      <c r="L45" t="s">
        <v>25</v>
      </c>
      <c r="M45">
        <v>519.38342</v>
      </c>
      <c r="N45">
        <v>1.4189999999999999E-2</v>
      </c>
      <c r="O45">
        <v>14.19</v>
      </c>
      <c r="P45">
        <v>36.60207329</v>
      </c>
      <c r="Q45" t="s">
        <v>27</v>
      </c>
      <c r="S45" t="s">
        <v>2</v>
      </c>
      <c r="T45">
        <v>23</v>
      </c>
      <c r="U45">
        <v>514</v>
      </c>
      <c r="V45">
        <v>575</v>
      </c>
      <c r="W45">
        <v>22.347799999999999</v>
      </c>
      <c r="X45">
        <v>-1.3280000000000001</v>
      </c>
    </row>
    <row r="46" spans="1:31" x14ac:dyDescent="0.2">
      <c r="A46">
        <v>128</v>
      </c>
      <c r="B46" t="s">
        <v>2</v>
      </c>
      <c r="C46" t="s">
        <v>25</v>
      </c>
      <c r="D46">
        <v>0</v>
      </c>
      <c r="E46">
        <v>2.1290000000000475E-2</v>
      </c>
      <c r="F46">
        <f t="shared" si="2"/>
        <v>21.290000000000475</v>
      </c>
      <c r="G46">
        <f t="shared" si="3"/>
        <v>0</v>
      </c>
      <c r="H46" t="s">
        <v>33</v>
      </c>
      <c r="J46">
        <v>128</v>
      </c>
      <c r="K46" t="s">
        <v>2</v>
      </c>
      <c r="L46" t="s">
        <v>25</v>
      </c>
      <c r="M46">
        <v>0</v>
      </c>
      <c r="N46">
        <v>2.129E-2</v>
      </c>
      <c r="O46">
        <v>21.29</v>
      </c>
      <c r="P46">
        <v>0</v>
      </c>
      <c r="Q46" t="s">
        <v>33</v>
      </c>
      <c r="S46" t="s">
        <v>3</v>
      </c>
      <c r="T46">
        <v>26</v>
      </c>
      <c r="U46">
        <v>711</v>
      </c>
      <c r="V46">
        <v>650</v>
      </c>
      <c r="W46">
        <v>27.3462</v>
      </c>
      <c r="X46">
        <v>1.3280000000000001</v>
      </c>
    </row>
    <row r="47" spans="1:31" x14ac:dyDescent="0.2">
      <c r="A47">
        <v>130</v>
      </c>
      <c r="B47" t="s">
        <v>2</v>
      </c>
      <c r="C47" t="s">
        <v>25</v>
      </c>
      <c r="D47">
        <v>0</v>
      </c>
      <c r="E47">
        <v>2.055999999999969E-2</v>
      </c>
      <c r="F47">
        <f t="shared" si="2"/>
        <v>20.55999999999969</v>
      </c>
      <c r="G47">
        <f t="shared" si="3"/>
        <v>0</v>
      </c>
      <c r="H47" t="s">
        <v>33</v>
      </c>
      <c r="J47">
        <v>130</v>
      </c>
      <c r="K47" t="s">
        <v>2</v>
      </c>
      <c r="L47" t="s">
        <v>25</v>
      </c>
      <c r="M47">
        <v>0</v>
      </c>
      <c r="N47">
        <v>2.0559999999999998E-2</v>
      </c>
      <c r="O47">
        <v>20.56</v>
      </c>
      <c r="P47">
        <v>0</v>
      </c>
      <c r="Q47" t="s">
        <v>33</v>
      </c>
      <c r="AD47" t="s">
        <v>169</v>
      </c>
    </row>
    <row r="48" spans="1:31" x14ac:dyDescent="0.2">
      <c r="A48">
        <v>131</v>
      </c>
      <c r="B48" t="s">
        <v>2</v>
      </c>
      <c r="C48" t="s">
        <v>25</v>
      </c>
      <c r="D48">
        <v>0</v>
      </c>
      <c r="E48">
        <v>2.1649999999999281E-2</v>
      </c>
      <c r="F48">
        <f t="shared" si="2"/>
        <v>21.649999999999281</v>
      </c>
      <c r="G48">
        <f t="shared" si="3"/>
        <v>0</v>
      </c>
      <c r="H48" t="s">
        <v>27</v>
      </c>
      <c r="J48">
        <v>131</v>
      </c>
      <c r="K48" t="s">
        <v>2</v>
      </c>
      <c r="L48" t="s">
        <v>25</v>
      </c>
      <c r="M48">
        <v>0</v>
      </c>
      <c r="N48">
        <v>2.1649999999999999E-2</v>
      </c>
      <c r="O48">
        <v>21.65</v>
      </c>
      <c r="P48">
        <v>0</v>
      </c>
      <c r="Q48" t="s">
        <v>27</v>
      </c>
      <c r="AD48" t="s">
        <v>170</v>
      </c>
    </row>
    <row r="49" spans="1:37" x14ac:dyDescent="0.2">
      <c r="A49">
        <v>132</v>
      </c>
      <c r="B49" t="s">
        <v>2</v>
      </c>
      <c r="C49" t="s">
        <v>25</v>
      </c>
      <c r="D49">
        <v>0</v>
      </c>
      <c r="E49">
        <v>1.9770000000001176E-2</v>
      </c>
      <c r="F49">
        <f t="shared" si="2"/>
        <v>19.770000000001176</v>
      </c>
      <c r="G49">
        <f t="shared" si="3"/>
        <v>0</v>
      </c>
      <c r="H49" t="s">
        <v>27</v>
      </c>
      <c r="J49">
        <v>132</v>
      </c>
      <c r="K49" t="s">
        <v>2</v>
      </c>
      <c r="L49" t="s">
        <v>25</v>
      </c>
      <c r="M49">
        <v>0</v>
      </c>
      <c r="N49">
        <v>1.9769999999999999E-2</v>
      </c>
      <c r="O49">
        <v>19.77</v>
      </c>
      <c r="P49">
        <v>0</v>
      </c>
      <c r="Q49" t="s">
        <v>27</v>
      </c>
      <c r="AE49" t="s">
        <v>29</v>
      </c>
      <c r="AF49" t="s">
        <v>35</v>
      </c>
      <c r="AG49" t="s">
        <v>25</v>
      </c>
    </row>
    <row r="50" spans="1:37" x14ac:dyDescent="0.2">
      <c r="A50">
        <v>135</v>
      </c>
      <c r="B50" t="s">
        <v>3</v>
      </c>
      <c r="C50" t="s">
        <v>35</v>
      </c>
      <c r="D50">
        <v>0</v>
      </c>
      <c r="E50">
        <v>1.9349999999999312E-2</v>
      </c>
      <c r="F50">
        <f t="shared" si="2"/>
        <v>19.349999999999312</v>
      </c>
      <c r="G50">
        <f t="shared" si="3"/>
        <v>0</v>
      </c>
      <c r="H50" t="s">
        <v>27</v>
      </c>
      <c r="J50">
        <v>135</v>
      </c>
      <c r="K50" t="s">
        <v>3</v>
      </c>
      <c r="L50" t="s">
        <v>35</v>
      </c>
      <c r="M50">
        <v>0</v>
      </c>
      <c r="N50">
        <v>1.9349999999999999E-2</v>
      </c>
      <c r="O50">
        <v>19.350000000000001</v>
      </c>
      <c r="P50">
        <v>0</v>
      </c>
      <c r="Q50" t="s">
        <v>27</v>
      </c>
      <c r="AD50" t="s">
        <v>29</v>
      </c>
      <c r="AE50">
        <v>-10.228</v>
      </c>
      <c r="AF50">
        <v>-3.8969999999999998</v>
      </c>
      <c r="AG50">
        <v>6.3680000000000003</v>
      </c>
    </row>
    <row r="51" spans="1:37" x14ac:dyDescent="0.2">
      <c r="A51">
        <v>138</v>
      </c>
      <c r="B51" t="s">
        <v>3</v>
      </c>
      <c r="C51" t="s">
        <v>35</v>
      </c>
      <c r="D51">
        <v>0</v>
      </c>
      <c r="E51">
        <v>2.2649999999998727E-2</v>
      </c>
      <c r="F51">
        <f t="shared" si="2"/>
        <v>22.649999999998727</v>
      </c>
      <c r="G51">
        <f t="shared" si="3"/>
        <v>0</v>
      </c>
      <c r="H51" t="s">
        <v>27</v>
      </c>
      <c r="J51">
        <v>138</v>
      </c>
      <c r="K51" t="s">
        <v>3</v>
      </c>
      <c r="L51" t="s">
        <v>35</v>
      </c>
      <c r="M51">
        <v>0</v>
      </c>
      <c r="N51">
        <v>2.265E-2</v>
      </c>
      <c r="O51">
        <v>22.65</v>
      </c>
      <c r="P51">
        <v>0</v>
      </c>
      <c r="Q51" t="s">
        <v>27</v>
      </c>
      <c r="S51" t="s">
        <v>203</v>
      </c>
      <c r="AD51" t="s">
        <v>35</v>
      </c>
      <c r="AE51">
        <v>-3.8969999999999998</v>
      </c>
      <c r="AF51">
        <v>-11.547000000000001</v>
      </c>
      <c r="AG51">
        <v>-1.274</v>
      </c>
    </row>
    <row r="52" spans="1:37" x14ac:dyDescent="0.2">
      <c r="A52">
        <v>141</v>
      </c>
      <c r="B52" t="s">
        <v>2</v>
      </c>
      <c r="C52" t="s">
        <v>29</v>
      </c>
      <c r="D52">
        <v>0</v>
      </c>
      <c r="E52">
        <v>1.807999999999943E-2</v>
      </c>
      <c r="F52">
        <f t="shared" si="2"/>
        <v>18.07999999999943</v>
      </c>
      <c r="G52">
        <f t="shared" si="3"/>
        <v>0</v>
      </c>
      <c r="H52" t="s">
        <v>33</v>
      </c>
      <c r="J52">
        <v>141</v>
      </c>
      <c r="K52" t="s">
        <v>2</v>
      </c>
      <c r="L52" t="s">
        <v>29</v>
      </c>
      <c r="M52">
        <v>0</v>
      </c>
      <c r="N52">
        <v>1.8079999999999999E-2</v>
      </c>
      <c r="O52">
        <v>18.079999999999998</v>
      </c>
      <c r="P52">
        <v>0</v>
      </c>
      <c r="Q52" t="s">
        <v>33</v>
      </c>
      <c r="AD52" t="s">
        <v>25</v>
      </c>
      <c r="AE52">
        <v>6.3680000000000003</v>
      </c>
      <c r="AF52">
        <v>-1.274</v>
      </c>
      <c r="AG52">
        <v>-11.78</v>
      </c>
    </row>
    <row r="53" spans="1:37" x14ac:dyDescent="0.2">
      <c r="A53">
        <v>147</v>
      </c>
      <c r="B53" t="s">
        <v>2</v>
      </c>
      <c r="C53" t="s">
        <v>29</v>
      </c>
      <c r="D53">
        <v>829.57610999999997</v>
      </c>
      <c r="E53">
        <v>2.0699999999999719E-2</v>
      </c>
      <c r="F53">
        <f t="shared" si="2"/>
        <v>20.699999999999719</v>
      </c>
      <c r="G53">
        <f t="shared" si="3"/>
        <v>40.076140579710689</v>
      </c>
      <c r="H53" t="s">
        <v>33</v>
      </c>
      <c r="J53">
        <v>147</v>
      </c>
      <c r="K53" t="s">
        <v>2</v>
      </c>
      <c r="L53" t="s">
        <v>29</v>
      </c>
      <c r="M53">
        <v>829.57610999999997</v>
      </c>
      <c r="N53">
        <v>2.07E-2</v>
      </c>
      <c r="O53">
        <v>20.7</v>
      </c>
      <c r="P53">
        <v>40.076140580000001</v>
      </c>
      <c r="Q53" t="s">
        <v>33</v>
      </c>
      <c r="S53" t="s">
        <v>204</v>
      </c>
      <c r="T53" t="s">
        <v>205</v>
      </c>
      <c r="U53" t="s">
        <v>206</v>
      </c>
    </row>
    <row r="54" spans="1:37" x14ac:dyDescent="0.2">
      <c r="A54">
        <v>150</v>
      </c>
      <c r="B54" t="s">
        <v>2</v>
      </c>
      <c r="C54" t="s">
        <v>25</v>
      </c>
      <c r="D54">
        <v>0</v>
      </c>
      <c r="E54">
        <v>2.210999999999963E-2</v>
      </c>
      <c r="F54">
        <f t="shared" si="2"/>
        <v>22.10999999999963</v>
      </c>
      <c r="G54">
        <f t="shared" si="3"/>
        <v>0</v>
      </c>
      <c r="H54" t="s">
        <v>33</v>
      </c>
      <c r="J54">
        <v>150</v>
      </c>
      <c r="K54" t="s">
        <v>2</v>
      </c>
      <c r="L54" t="s">
        <v>25</v>
      </c>
      <c r="M54">
        <v>0</v>
      </c>
      <c r="N54">
        <v>2.2110000000000001E-2</v>
      </c>
      <c r="O54">
        <v>22.11</v>
      </c>
      <c r="P54">
        <v>0</v>
      </c>
      <c r="Q54" t="s">
        <v>33</v>
      </c>
      <c r="S54">
        <v>514</v>
      </c>
      <c r="T54">
        <v>-1.3280799999999999</v>
      </c>
      <c r="U54">
        <v>0.1842</v>
      </c>
    </row>
    <row r="55" spans="1:37" x14ac:dyDescent="0.2">
      <c r="A55">
        <v>157</v>
      </c>
      <c r="B55" t="s">
        <v>3</v>
      </c>
      <c r="C55" t="s">
        <v>35</v>
      </c>
      <c r="D55">
        <v>1258.2315699999999</v>
      </c>
      <c r="E55">
        <v>2.2850000000000037E-2</v>
      </c>
      <c r="F55">
        <f t="shared" si="2"/>
        <v>22.850000000000037</v>
      </c>
      <c r="G55">
        <f t="shared" si="3"/>
        <v>55.064838949671682</v>
      </c>
      <c r="H55" t="s">
        <v>27</v>
      </c>
      <c r="J55">
        <v>157</v>
      </c>
      <c r="K55" t="s">
        <v>3</v>
      </c>
      <c r="L55" t="s">
        <v>35</v>
      </c>
      <c r="M55">
        <v>1258.2315699999999</v>
      </c>
      <c r="N55">
        <v>2.2849999999999999E-2</v>
      </c>
      <c r="O55">
        <v>22.85</v>
      </c>
      <c r="P55">
        <v>55.064838950000002</v>
      </c>
      <c r="Q55" t="s">
        <v>27</v>
      </c>
      <c r="AD55" t="s">
        <v>171</v>
      </c>
    </row>
    <row r="56" spans="1:37" x14ac:dyDescent="0.2">
      <c r="A56">
        <v>158</v>
      </c>
      <c r="B56" t="s">
        <v>3</v>
      </c>
      <c r="C56" t="s">
        <v>29</v>
      </c>
      <c r="D56">
        <v>6566.4052700000002</v>
      </c>
      <c r="E56">
        <v>1.9059999999999633E-2</v>
      </c>
      <c r="F56">
        <f t="shared" si="2"/>
        <v>19.059999999999633</v>
      </c>
      <c r="G56" s="23">
        <f t="shared" si="3"/>
        <v>344.5123436516331</v>
      </c>
      <c r="H56" t="s">
        <v>27</v>
      </c>
      <c r="J56">
        <v>158</v>
      </c>
      <c r="K56" t="s">
        <v>3</v>
      </c>
      <c r="L56" t="s">
        <v>29</v>
      </c>
      <c r="M56">
        <v>6566.4052700000002</v>
      </c>
      <c r="N56">
        <v>1.9060000000000001E-2</v>
      </c>
      <c r="O56">
        <v>19.059999999999999</v>
      </c>
      <c r="Q56" t="s">
        <v>27</v>
      </c>
    </row>
    <row r="57" spans="1:37" x14ac:dyDescent="0.2">
      <c r="A57">
        <v>159</v>
      </c>
      <c r="B57" t="s">
        <v>2</v>
      </c>
      <c r="C57" t="s">
        <v>29</v>
      </c>
      <c r="D57">
        <v>0</v>
      </c>
      <c r="E57">
        <v>2.5639999999999219E-2</v>
      </c>
      <c r="F57">
        <f t="shared" si="2"/>
        <v>25.639999999999219</v>
      </c>
      <c r="G57">
        <f t="shared" si="3"/>
        <v>0</v>
      </c>
      <c r="H57" t="s">
        <v>27</v>
      </c>
      <c r="J57">
        <v>159</v>
      </c>
      <c r="K57" t="s">
        <v>2</v>
      </c>
      <c r="L57" t="s">
        <v>29</v>
      </c>
      <c r="M57">
        <v>0</v>
      </c>
      <c r="N57">
        <v>2.564E-2</v>
      </c>
      <c r="O57">
        <v>25.64</v>
      </c>
      <c r="P57">
        <v>0</v>
      </c>
      <c r="Q57" t="s">
        <v>27</v>
      </c>
    </row>
    <row r="58" spans="1:37" x14ac:dyDescent="0.2">
      <c r="A58">
        <v>164</v>
      </c>
      <c r="B58" t="s">
        <v>3</v>
      </c>
      <c r="C58" t="s">
        <v>29</v>
      </c>
      <c r="D58">
        <v>0</v>
      </c>
      <c r="E58">
        <v>2.4140000000000938E-2</v>
      </c>
      <c r="F58">
        <f t="shared" si="2"/>
        <v>24.140000000000938</v>
      </c>
      <c r="G58">
        <f t="shared" si="3"/>
        <v>0</v>
      </c>
      <c r="H58" t="s">
        <v>27</v>
      </c>
      <c r="J58">
        <v>164</v>
      </c>
      <c r="K58" t="s">
        <v>3</v>
      </c>
      <c r="L58" t="s">
        <v>29</v>
      </c>
      <c r="M58">
        <v>0</v>
      </c>
      <c r="N58">
        <v>2.4140000000000002E-2</v>
      </c>
      <c r="O58">
        <v>24.14</v>
      </c>
      <c r="P58">
        <v>0</v>
      </c>
      <c r="Q58" t="s">
        <v>27</v>
      </c>
    </row>
    <row r="59" spans="1:37" x14ac:dyDescent="0.2">
      <c r="A59">
        <v>165</v>
      </c>
      <c r="B59" t="s">
        <v>2</v>
      </c>
      <c r="C59" t="s">
        <v>35</v>
      </c>
      <c r="D59">
        <v>762.55291999999997</v>
      </c>
      <c r="E59">
        <v>2.1340000000000359E-2</v>
      </c>
      <c r="F59">
        <f t="shared" si="2"/>
        <v>21.340000000000359</v>
      </c>
      <c r="G59">
        <f t="shared" si="3"/>
        <v>35.733501405810081</v>
      </c>
      <c r="H59" t="s">
        <v>27</v>
      </c>
      <c r="J59">
        <v>165</v>
      </c>
      <c r="K59" t="s">
        <v>2</v>
      </c>
      <c r="L59" t="s">
        <v>35</v>
      </c>
      <c r="M59">
        <v>762.55291999999997</v>
      </c>
      <c r="N59">
        <v>2.1340000000000001E-2</v>
      </c>
      <c r="O59">
        <v>21.34</v>
      </c>
      <c r="P59">
        <v>35.733501410000002</v>
      </c>
      <c r="Q59" t="s">
        <v>27</v>
      </c>
      <c r="S59" t="s">
        <v>198</v>
      </c>
      <c r="AD59" t="s">
        <v>172</v>
      </c>
    </row>
    <row r="60" spans="1:37" x14ac:dyDescent="0.2">
      <c r="A60">
        <v>166</v>
      </c>
      <c r="B60" t="s">
        <v>2</v>
      </c>
      <c r="C60" t="s">
        <v>35</v>
      </c>
      <c r="D60">
        <v>0</v>
      </c>
      <c r="E60">
        <v>2.1810000000000329E-2</v>
      </c>
      <c r="F60">
        <f t="shared" si="2"/>
        <v>21.810000000000329</v>
      </c>
      <c r="G60">
        <f t="shared" si="3"/>
        <v>0</v>
      </c>
      <c r="H60" t="s">
        <v>27</v>
      </c>
      <c r="J60">
        <v>166</v>
      </c>
      <c r="K60" t="s">
        <v>2</v>
      </c>
      <c r="L60" t="s">
        <v>35</v>
      </c>
      <c r="M60">
        <v>0</v>
      </c>
      <c r="N60">
        <v>2.181E-2</v>
      </c>
      <c r="O60">
        <v>21.81</v>
      </c>
      <c r="P60">
        <v>0</v>
      </c>
      <c r="Q60" t="s">
        <v>27</v>
      </c>
    </row>
    <row r="61" spans="1:37" x14ac:dyDescent="0.2">
      <c r="A61">
        <v>169</v>
      </c>
      <c r="B61" t="s">
        <v>2</v>
      </c>
      <c r="C61" t="s">
        <v>29</v>
      </c>
      <c r="D61">
        <v>785.22571000000005</v>
      </c>
      <c r="E61">
        <v>1.9489999999999341E-2</v>
      </c>
      <c r="F61">
        <f t="shared" si="2"/>
        <v>19.489999999999341</v>
      </c>
      <c r="G61">
        <f t="shared" si="3"/>
        <v>40.288645972294852</v>
      </c>
      <c r="H61" t="s">
        <v>27</v>
      </c>
      <c r="J61">
        <v>169</v>
      </c>
      <c r="K61" t="s">
        <v>2</v>
      </c>
      <c r="L61" t="s">
        <v>29</v>
      </c>
      <c r="M61">
        <v>785.22571000000005</v>
      </c>
      <c r="N61">
        <v>1.949E-2</v>
      </c>
      <c r="O61">
        <v>19.489999999999998</v>
      </c>
      <c r="P61">
        <v>40.288645969999997</v>
      </c>
      <c r="Q61" t="s">
        <v>27</v>
      </c>
      <c r="S61" t="s">
        <v>199</v>
      </c>
      <c r="T61" t="s">
        <v>114</v>
      </c>
      <c r="U61" t="s">
        <v>200</v>
      </c>
    </row>
    <row r="62" spans="1:37" x14ac:dyDescent="0.2">
      <c r="A62">
        <v>172</v>
      </c>
      <c r="B62" t="s">
        <v>2</v>
      </c>
      <c r="C62" t="s">
        <v>29</v>
      </c>
      <c r="D62">
        <v>770.15386999999998</v>
      </c>
      <c r="E62">
        <v>1.9809999999999661E-2</v>
      </c>
      <c r="F62">
        <f t="shared" si="2"/>
        <v>19.809999999999661</v>
      </c>
      <c r="G62">
        <f t="shared" si="3"/>
        <v>38.877025239778554</v>
      </c>
      <c r="H62" t="s">
        <v>33</v>
      </c>
      <c r="J62">
        <v>172</v>
      </c>
      <c r="K62" t="s">
        <v>2</v>
      </c>
      <c r="L62" t="s">
        <v>29</v>
      </c>
      <c r="M62">
        <v>770.15386999999998</v>
      </c>
      <c r="N62">
        <v>1.9810000000000001E-2</v>
      </c>
      <c r="O62">
        <v>19.809999999999999</v>
      </c>
      <c r="P62">
        <v>38.877025240000002</v>
      </c>
      <c r="Q62" t="s">
        <v>33</v>
      </c>
      <c r="S62">
        <v>1.7930999999999999</v>
      </c>
      <c r="T62">
        <v>1</v>
      </c>
      <c r="U62" s="23">
        <v>0.18060000000000001</v>
      </c>
      <c r="AD62" t="s">
        <v>158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69</v>
      </c>
    </row>
    <row r="63" spans="1:37" x14ac:dyDescent="0.2">
      <c r="A63">
        <v>177</v>
      </c>
      <c r="B63" t="s">
        <v>3</v>
      </c>
      <c r="C63" t="s">
        <v>25</v>
      </c>
      <c r="D63">
        <v>890.33996999999999</v>
      </c>
      <c r="E63">
        <v>2.1539999999999893E-2</v>
      </c>
      <c r="F63">
        <f t="shared" si="2"/>
        <v>21.539999999999893</v>
      </c>
      <c r="G63">
        <f t="shared" si="3"/>
        <v>41.334260445682659</v>
      </c>
      <c r="H63" t="s">
        <v>33</v>
      </c>
      <c r="J63">
        <v>177</v>
      </c>
      <c r="K63" t="s">
        <v>3</v>
      </c>
      <c r="L63" t="s">
        <v>25</v>
      </c>
      <c r="M63">
        <v>890.33996999999999</v>
      </c>
      <c r="N63">
        <v>2.154E-2</v>
      </c>
      <c r="O63">
        <v>21.54</v>
      </c>
      <c r="P63">
        <v>41.334260450000002</v>
      </c>
      <c r="Q63" t="s">
        <v>33</v>
      </c>
      <c r="AD63" t="s">
        <v>29</v>
      </c>
      <c r="AE63" t="s">
        <v>173</v>
      </c>
      <c r="AF63" t="s">
        <v>91</v>
      </c>
      <c r="AK63">
        <v>36.151448000000002</v>
      </c>
    </row>
    <row r="64" spans="1:37" x14ac:dyDescent="0.2">
      <c r="A64">
        <v>181</v>
      </c>
      <c r="B64" t="s">
        <v>3</v>
      </c>
      <c r="C64" t="s">
        <v>29</v>
      </c>
      <c r="D64">
        <v>3889.0966800000001</v>
      </c>
      <c r="E64">
        <v>1.9149999999999778E-2</v>
      </c>
      <c r="F64">
        <f t="shared" si="2"/>
        <v>19.149999999999778</v>
      </c>
      <c r="G64" s="23">
        <f t="shared" si="3"/>
        <v>203.08598851175171</v>
      </c>
      <c r="H64" t="s">
        <v>33</v>
      </c>
      <c r="J64">
        <v>181</v>
      </c>
      <c r="K64" t="s">
        <v>3</v>
      </c>
      <c r="L64" t="s">
        <v>29</v>
      </c>
      <c r="M64">
        <v>3889.0966800000001</v>
      </c>
      <c r="N64">
        <v>1.915E-2</v>
      </c>
      <c r="O64">
        <v>19.149999999999999</v>
      </c>
      <c r="Q64" t="s">
        <v>33</v>
      </c>
      <c r="AD64" t="s">
        <v>35</v>
      </c>
      <c r="AE64" t="s">
        <v>173</v>
      </c>
      <c r="AF64" t="s">
        <v>226</v>
      </c>
      <c r="AK64">
        <v>29.141154</v>
      </c>
    </row>
    <row r="65" spans="1:37" x14ac:dyDescent="0.2">
      <c r="A65">
        <v>183</v>
      </c>
      <c r="B65" t="s">
        <v>3</v>
      </c>
      <c r="C65" t="s">
        <v>25</v>
      </c>
      <c r="D65">
        <v>1605.48035</v>
      </c>
      <c r="E65">
        <v>2.1419999999999106E-2</v>
      </c>
      <c r="F65">
        <f t="shared" si="2"/>
        <v>21.419999999999106</v>
      </c>
      <c r="G65">
        <f t="shared" si="3"/>
        <v>74.952397292253366</v>
      </c>
      <c r="H65" t="s">
        <v>27</v>
      </c>
      <c r="J65">
        <v>183</v>
      </c>
      <c r="K65" t="s">
        <v>3</v>
      </c>
      <c r="L65" t="s">
        <v>25</v>
      </c>
      <c r="M65">
        <v>1605.48035</v>
      </c>
      <c r="N65">
        <v>2.1420000000000002E-2</v>
      </c>
      <c r="O65">
        <v>21.42</v>
      </c>
      <c r="P65">
        <v>74.952397289999993</v>
      </c>
      <c r="Q65" t="s">
        <v>27</v>
      </c>
      <c r="AD65" t="s">
        <v>25</v>
      </c>
      <c r="AE65" t="s">
        <v>91</v>
      </c>
      <c r="AF65" t="s">
        <v>226</v>
      </c>
      <c r="AK65">
        <v>18.751797</v>
      </c>
    </row>
    <row r="66" spans="1:37" x14ac:dyDescent="0.2">
      <c r="A66">
        <v>185</v>
      </c>
      <c r="B66" t="s">
        <v>3</v>
      </c>
      <c r="C66" t="s">
        <v>25</v>
      </c>
      <c r="D66">
        <v>0</v>
      </c>
      <c r="E66">
        <v>2.2879999999998901E-2</v>
      </c>
      <c r="F66">
        <f t="shared" si="2"/>
        <v>22.879999999998901</v>
      </c>
      <c r="G66">
        <f t="shared" si="3"/>
        <v>0</v>
      </c>
      <c r="H66" t="s">
        <v>33</v>
      </c>
      <c r="J66">
        <v>185</v>
      </c>
      <c r="K66" t="s">
        <v>3</v>
      </c>
      <c r="L66" t="s">
        <v>25</v>
      </c>
      <c r="M66">
        <v>0</v>
      </c>
      <c r="N66">
        <v>2.2880000000000001E-2</v>
      </c>
      <c r="O66">
        <v>22.88</v>
      </c>
      <c r="P66">
        <v>0</v>
      </c>
      <c r="Q66" t="s">
        <v>33</v>
      </c>
    </row>
    <row r="67" spans="1:37" x14ac:dyDescent="0.2">
      <c r="A67">
        <v>186</v>
      </c>
      <c r="B67" t="s">
        <v>3</v>
      </c>
      <c r="C67" t="s">
        <v>25</v>
      </c>
      <c r="D67">
        <v>883.89124000000004</v>
      </c>
      <c r="E67">
        <v>2.4850000000000705E-2</v>
      </c>
      <c r="F67">
        <f t="shared" si="2"/>
        <v>24.850000000000705</v>
      </c>
      <c r="G67">
        <f t="shared" si="3"/>
        <v>35.56906398390241</v>
      </c>
      <c r="H67" t="s">
        <v>27</v>
      </c>
      <c r="J67">
        <v>186</v>
      </c>
      <c r="K67" t="s">
        <v>3</v>
      </c>
      <c r="L67" t="s">
        <v>25</v>
      </c>
      <c r="M67">
        <v>883.89124000000004</v>
      </c>
      <c r="N67">
        <v>2.4850000000000001E-2</v>
      </c>
      <c r="O67">
        <v>24.85</v>
      </c>
      <c r="P67">
        <v>35.569063980000003</v>
      </c>
      <c r="Q67" t="s">
        <v>27</v>
      </c>
      <c r="S67" t="s">
        <v>237</v>
      </c>
    </row>
    <row r="68" spans="1:37" x14ac:dyDescent="0.2">
      <c r="A68">
        <v>189</v>
      </c>
      <c r="B68" t="s">
        <v>3</v>
      </c>
      <c r="C68" t="s">
        <v>35</v>
      </c>
      <c r="D68">
        <v>0</v>
      </c>
      <c r="E68">
        <v>1.7330000000001178E-2</v>
      </c>
      <c r="F68">
        <f t="shared" ref="F68:F99" si="4">E68*1000</f>
        <v>17.330000000001178</v>
      </c>
      <c r="G68">
        <f t="shared" ref="G68:G99" si="5">D68/F68</f>
        <v>0</v>
      </c>
      <c r="H68" t="s">
        <v>27</v>
      </c>
      <c r="J68">
        <v>189</v>
      </c>
      <c r="K68" t="s">
        <v>3</v>
      </c>
      <c r="L68" t="s">
        <v>35</v>
      </c>
      <c r="M68">
        <v>0</v>
      </c>
      <c r="N68">
        <v>1.7330000000000002E-2</v>
      </c>
      <c r="O68">
        <v>17.329999999999998</v>
      </c>
      <c r="P68">
        <v>0</v>
      </c>
      <c r="Q68" t="s">
        <v>27</v>
      </c>
      <c r="AD68" t="s">
        <v>174</v>
      </c>
    </row>
    <row r="69" spans="1:37" x14ac:dyDescent="0.2">
      <c r="A69">
        <v>190</v>
      </c>
      <c r="B69" t="s">
        <v>3</v>
      </c>
      <c r="C69" t="s">
        <v>29</v>
      </c>
      <c r="D69">
        <v>885.38842999999997</v>
      </c>
      <c r="E69">
        <v>1.9729999999999137E-2</v>
      </c>
      <c r="F69">
        <f t="shared" si="4"/>
        <v>19.729999999999137</v>
      </c>
      <c r="G69">
        <f t="shared" si="5"/>
        <v>44.875237202232064</v>
      </c>
      <c r="H69" t="s">
        <v>27</v>
      </c>
      <c r="J69">
        <v>190</v>
      </c>
      <c r="K69" t="s">
        <v>3</v>
      </c>
      <c r="L69" t="s">
        <v>29</v>
      </c>
      <c r="M69">
        <v>885.38842999999997</v>
      </c>
      <c r="N69">
        <v>1.9730000000000001E-2</v>
      </c>
      <c r="O69">
        <v>19.73</v>
      </c>
      <c r="P69">
        <v>44.875237200000001</v>
      </c>
      <c r="Q69" t="s">
        <v>27</v>
      </c>
      <c r="S69" t="s">
        <v>107</v>
      </c>
    </row>
    <row r="70" spans="1:37" x14ac:dyDescent="0.2">
      <c r="A70">
        <v>192</v>
      </c>
      <c r="B70" t="s">
        <v>3</v>
      </c>
      <c r="C70" t="s">
        <v>29</v>
      </c>
      <c r="D70">
        <v>1560.8194599999999</v>
      </c>
      <c r="E70">
        <v>1.953000000000138E-2</v>
      </c>
      <c r="F70">
        <f t="shared" si="4"/>
        <v>19.53000000000138</v>
      </c>
      <c r="G70">
        <f t="shared" si="5"/>
        <v>79.919071172549394</v>
      </c>
      <c r="H70" t="s">
        <v>33</v>
      </c>
      <c r="J70">
        <v>192</v>
      </c>
      <c r="K70" t="s">
        <v>3</v>
      </c>
      <c r="L70" t="s">
        <v>29</v>
      </c>
      <c r="M70">
        <v>1560.8194599999999</v>
      </c>
      <c r="N70">
        <v>1.9529999999999999E-2</v>
      </c>
      <c r="O70">
        <v>19.53</v>
      </c>
      <c r="P70">
        <v>79.919071169999995</v>
      </c>
      <c r="Q70" t="s">
        <v>33</v>
      </c>
      <c r="S70">
        <v>1</v>
      </c>
    </row>
    <row r="71" spans="1:37" x14ac:dyDescent="0.2">
      <c r="A71">
        <v>193</v>
      </c>
      <c r="B71" t="s">
        <v>3</v>
      </c>
      <c r="C71" t="s">
        <v>25</v>
      </c>
      <c r="D71">
        <v>0</v>
      </c>
      <c r="E71">
        <v>2.0969999999998379E-2</v>
      </c>
      <c r="F71">
        <f t="shared" si="4"/>
        <v>20.969999999998379</v>
      </c>
      <c r="G71">
        <f t="shared" si="5"/>
        <v>0</v>
      </c>
      <c r="H71" t="s">
        <v>33</v>
      </c>
      <c r="J71">
        <v>193</v>
      </c>
      <c r="K71" t="s">
        <v>3</v>
      </c>
      <c r="L71" t="s">
        <v>25</v>
      </c>
      <c r="M71">
        <v>0</v>
      </c>
      <c r="N71">
        <v>2.0969999999999999E-2</v>
      </c>
      <c r="O71">
        <v>20.97</v>
      </c>
      <c r="P71">
        <v>0</v>
      </c>
      <c r="Q71" t="s">
        <v>33</v>
      </c>
    </row>
    <row r="72" spans="1:37" x14ac:dyDescent="0.2">
      <c r="A72">
        <v>194</v>
      </c>
      <c r="B72" t="s">
        <v>2</v>
      </c>
      <c r="C72" t="s">
        <v>29</v>
      </c>
      <c r="D72">
        <v>1521.9583700000001</v>
      </c>
      <c r="E72">
        <v>2.4799999999999045E-2</v>
      </c>
      <c r="F72">
        <f t="shared" si="4"/>
        <v>24.799999999999045</v>
      </c>
      <c r="G72">
        <f t="shared" si="5"/>
        <v>61.369289112905591</v>
      </c>
      <c r="H72" t="s">
        <v>33</v>
      </c>
      <c r="J72">
        <v>194</v>
      </c>
      <c r="K72" t="s">
        <v>2</v>
      </c>
      <c r="L72" t="s">
        <v>29</v>
      </c>
      <c r="M72">
        <v>1521.9583700000001</v>
      </c>
      <c r="N72">
        <v>2.4799999999999999E-2</v>
      </c>
      <c r="O72">
        <v>24.8</v>
      </c>
      <c r="P72">
        <v>61.369289109999997</v>
      </c>
      <c r="Q72" t="s">
        <v>33</v>
      </c>
      <c r="AD72" t="s">
        <v>175</v>
      </c>
    </row>
    <row r="73" spans="1:37" x14ac:dyDescent="0.2">
      <c r="A73">
        <v>195</v>
      </c>
      <c r="B73" t="s">
        <v>3</v>
      </c>
      <c r="C73" t="s">
        <v>29</v>
      </c>
      <c r="D73">
        <v>2605.78442</v>
      </c>
      <c r="E73">
        <v>1.7660000000001119E-2</v>
      </c>
      <c r="F73">
        <f t="shared" si="4"/>
        <v>17.660000000001119</v>
      </c>
      <c r="G73" s="23">
        <f t="shared" si="5"/>
        <v>147.55291166476979</v>
      </c>
      <c r="H73" t="s">
        <v>33</v>
      </c>
      <c r="J73">
        <v>195</v>
      </c>
      <c r="K73" t="s">
        <v>3</v>
      </c>
      <c r="L73" t="s">
        <v>29</v>
      </c>
      <c r="M73">
        <v>2605.78442</v>
      </c>
      <c r="N73">
        <v>1.7659999999999999E-2</v>
      </c>
      <c r="O73">
        <v>17.66</v>
      </c>
      <c r="Q73" t="s">
        <v>33</v>
      </c>
      <c r="S73" t="s">
        <v>193</v>
      </c>
    </row>
    <row r="74" spans="1:37" x14ac:dyDescent="0.2">
      <c r="A74">
        <v>199</v>
      </c>
      <c r="B74" t="s">
        <v>2</v>
      </c>
      <c r="C74" t="s">
        <v>29</v>
      </c>
      <c r="D74">
        <v>983.06457999999998</v>
      </c>
      <c r="E74">
        <v>1.991999999999905E-2</v>
      </c>
      <c r="F74">
        <f t="shared" si="4"/>
        <v>19.91999999999905</v>
      </c>
      <c r="G74">
        <f t="shared" si="5"/>
        <v>49.350631526106774</v>
      </c>
      <c r="H74" t="s">
        <v>33</v>
      </c>
      <c r="J74">
        <v>199</v>
      </c>
      <c r="K74" t="s">
        <v>2</v>
      </c>
      <c r="L74" t="s">
        <v>29</v>
      </c>
      <c r="M74">
        <v>983.06457999999998</v>
      </c>
      <c r="N74">
        <v>1.992E-2</v>
      </c>
      <c r="O74">
        <v>19.920000000000002</v>
      </c>
      <c r="P74">
        <v>49.350631530000001</v>
      </c>
      <c r="Q74" t="s">
        <v>33</v>
      </c>
      <c r="AD74" t="s">
        <v>158</v>
      </c>
      <c r="AE74" t="s">
        <v>176</v>
      </c>
      <c r="AF74" t="s">
        <v>111</v>
      </c>
      <c r="AG74" t="s">
        <v>113</v>
      </c>
      <c r="AH74" t="s">
        <v>177</v>
      </c>
      <c r="AI74" t="s">
        <v>178</v>
      </c>
      <c r="AJ74" t="s">
        <v>179</v>
      </c>
      <c r="AK74" t="s">
        <v>180</v>
      </c>
    </row>
    <row r="75" spans="1:37" x14ac:dyDescent="0.2">
      <c r="A75">
        <v>201</v>
      </c>
      <c r="B75" t="s">
        <v>3</v>
      </c>
      <c r="C75" t="s">
        <v>29</v>
      </c>
      <c r="D75">
        <v>1162.78943</v>
      </c>
      <c r="E75">
        <v>2.2349999999999426E-2</v>
      </c>
      <c r="F75">
        <f t="shared" si="4"/>
        <v>22.349999999999426</v>
      </c>
      <c r="G75">
        <f t="shared" si="5"/>
        <v>52.026372706936463</v>
      </c>
      <c r="H75" t="s">
        <v>27</v>
      </c>
      <c r="J75">
        <v>201</v>
      </c>
      <c r="K75" t="s">
        <v>3</v>
      </c>
      <c r="L75" t="s">
        <v>29</v>
      </c>
      <c r="M75">
        <v>1162.78943</v>
      </c>
      <c r="N75">
        <v>2.2349999999999998E-2</v>
      </c>
      <c r="O75">
        <v>22.35</v>
      </c>
      <c r="P75">
        <v>52.026372709999997</v>
      </c>
      <c r="Q75" t="s">
        <v>27</v>
      </c>
      <c r="S75" t="s">
        <v>158</v>
      </c>
      <c r="T75" t="s">
        <v>82</v>
      </c>
      <c r="U75" t="s">
        <v>194</v>
      </c>
      <c r="V75" t="s">
        <v>195</v>
      </c>
      <c r="W75" t="s">
        <v>196</v>
      </c>
      <c r="X75" t="s">
        <v>197</v>
      </c>
      <c r="AD75" t="s">
        <v>29</v>
      </c>
      <c r="AE75" t="s">
        <v>25</v>
      </c>
      <c r="AF75">
        <v>17.399650000000001</v>
      </c>
      <c r="AG75">
        <v>4.6633550000000001</v>
      </c>
      <c r="AH75">
        <v>6.3685</v>
      </c>
      <c r="AI75">
        <v>28.430810000000001</v>
      </c>
      <c r="AJ75">
        <v>8.0000000000000004E-4</v>
      </c>
      <c r="AK75" t="s">
        <v>241</v>
      </c>
    </row>
    <row r="76" spans="1:37" x14ac:dyDescent="0.2">
      <c r="A76">
        <v>202</v>
      </c>
      <c r="B76" t="s">
        <v>2</v>
      </c>
      <c r="C76" t="s">
        <v>35</v>
      </c>
      <c r="D76">
        <v>1347.5914299999999</v>
      </c>
      <c r="E76">
        <v>2.5610000000000355E-2</v>
      </c>
      <c r="F76">
        <f t="shared" si="4"/>
        <v>25.610000000000355</v>
      </c>
      <c r="G76">
        <f t="shared" si="5"/>
        <v>52.619735650135937</v>
      </c>
      <c r="H76" t="s">
        <v>27</v>
      </c>
      <c r="J76">
        <v>202</v>
      </c>
      <c r="K76" t="s">
        <v>2</v>
      </c>
      <c r="L76" t="s">
        <v>35</v>
      </c>
      <c r="M76">
        <v>1347.5914299999999</v>
      </c>
      <c r="N76">
        <v>2.5610000000000001E-2</v>
      </c>
      <c r="O76">
        <v>25.61</v>
      </c>
      <c r="P76">
        <v>52.619735650000003</v>
      </c>
      <c r="Q76" t="s">
        <v>27</v>
      </c>
      <c r="S76" t="s">
        <v>2</v>
      </c>
      <c r="T76">
        <v>24</v>
      </c>
      <c r="U76">
        <v>559</v>
      </c>
      <c r="V76">
        <v>624</v>
      </c>
      <c r="W76">
        <v>23.291699999999999</v>
      </c>
      <c r="X76">
        <v>-1.25</v>
      </c>
      <c r="AD76" t="s">
        <v>35</v>
      </c>
      <c r="AE76" t="s">
        <v>25</v>
      </c>
      <c r="AF76">
        <v>10.38936</v>
      </c>
      <c r="AG76">
        <v>4.930803</v>
      </c>
      <c r="AH76">
        <v>-1.2744500000000001</v>
      </c>
      <c r="AI76">
        <v>22.053159999999998</v>
      </c>
      <c r="AJ76">
        <v>9.1600000000000001E-2</v>
      </c>
      <c r="AK76" t="s">
        <v>242</v>
      </c>
    </row>
    <row r="77" spans="1:37" x14ac:dyDescent="0.2">
      <c r="A77">
        <v>205</v>
      </c>
      <c r="B77" t="s">
        <v>2</v>
      </c>
      <c r="C77" t="s">
        <v>25</v>
      </c>
      <c r="D77">
        <v>983.23712</v>
      </c>
      <c r="E77">
        <v>2.1199999999998553E-2</v>
      </c>
      <c r="F77">
        <f t="shared" si="4"/>
        <v>21.199999999998553</v>
      </c>
      <c r="G77">
        <f t="shared" si="5"/>
        <v>46.379109433965432</v>
      </c>
      <c r="H77" t="s">
        <v>33</v>
      </c>
      <c r="J77">
        <v>205</v>
      </c>
      <c r="K77" t="s">
        <v>2</v>
      </c>
      <c r="L77" t="s">
        <v>25</v>
      </c>
      <c r="M77">
        <v>983.23712</v>
      </c>
      <c r="N77">
        <v>2.12E-2</v>
      </c>
      <c r="O77">
        <v>21.2</v>
      </c>
      <c r="P77">
        <v>46.37910943</v>
      </c>
      <c r="Q77" t="s">
        <v>33</v>
      </c>
      <c r="S77" t="s">
        <v>3</v>
      </c>
      <c r="T77">
        <v>27</v>
      </c>
      <c r="U77">
        <v>767</v>
      </c>
      <c r="V77">
        <v>702</v>
      </c>
      <c r="W77">
        <v>28.407399999999999</v>
      </c>
      <c r="X77">
        <v>1.25</v>
      </c>
      <c r="AD77" t="s">
        <v>29</v>
      </c>
      <c r="AE77" t="s">
        <v>35</v>
      </c>
      <c r="AF77">
        <v>7.0102900000000004</v>
      </c>
      <c r="AG77">
        <v>4.6109249999999999</v>
      </c>
      <c r="AH77">
        <v>-3.8968400000000001</v>
      </c>
      <c r="AI77">
        <v>17.91742</v>
      </c>
      <c r="AJ77">
        <v>0.28410000000000002</v>
      </c>
      <c r="AK77" t="s">
        <v>243</v>
      </c>
    </row>
    <row r="78" spans="1:37" x14ac:dyDescent="0.2">
      <c r="A78">
        <v>208</v>
      </c>
      <c r="B78" t="s">
        <v>3</v>
      </c>
      <c r="C78" t="s">
        <v>29</v>
      </c>
      <c r="D78">
        <v>1800.08923</v>
      </c>
      <c r="E78">
        <v>1.9140000000000157E-2</v>
      </c>
      <c r="F78">
        <f t="shared" si="4"/>
        <v>19.140000000000157</v>
      </c>
      <c r="G78">
        <f t="shared" si="5"/>
        <v>94.048549111806963</v>
      </c>
      <c r="H78" t="s">
        <v>33</v>
      </c>
      <c r="J78">
        <v>208</v>
      </c>
      <c r="K78" t="s">
        <v>3</v>
      </c>
      <c r="L78" t="s">
        <v>29</v>
      </c>
      <c r="M78">
        <v>1800.08923</v>
      </c>
      <c r="N78">
        <v>1.9140000000000001E-2</v>
      </c>
      <c r="O78">
        <v>19.14</v>
      </c>
      <c r="P78">
        <v>94.048549109999996</v>
      </c>
      <c r="Q78" t="s">
        <v>33</v>
      </c>
    </row>
    <row r="79" spans="1:37" x14ac:dyDescent="0.2">
      <c r="A79">
        <v>209</v>
      </c>
      <c r="B79" t="s">
        <v>3</v>
      </c>
      <c r="C79" t="s">
        <v>25</v>
      </c>
      <c r="D79">
        <v>1122.8091999999999</v>
      </c>
      <c r="E79">
        <v>2.4140000000000938E-2</v>
      </c>
      <c r="F79">
        <f t="shared" si="4"/>
        <v>24.140000000000938</v>
      </c>
      <c r="G79">
        <f t="shared" si="5"/>
        <v>46.512394366195373</v>
      </c>
      <c r="H79" t="s">
        <v>33</v>
      </c>
      <c r="J79">
        <v>209</v>
      </c>
      <c r="K79" t="s">
        <v>3</v>
      </c>
      <c r="L79" t="s">
        <v>25</v>
      </c>
      <c r="M79">
        <v>1122.8091999999999</v>
      </c>
      <c r="N79">
        <v>2.4140000000000002E-2</v>
      </c>
      <c r="O79">
        <v>24.14</v>
      </c>
      <c r="P79">
        <v>46.512394370000003</v>
      </c>
      <c r="Q79" t="s">
        <v>33</v>
      </c>
    </row>
    <row r="80" spans="1:37" x14ac:dyDescent="0.2">
      <c r="A80">
        <v>211</v>
      </c>
      <c r="B80" t="s">
        <v>3</v>
      </c>
      <c r="C80" t="s">
        <v>29</v>
      </c>
      <c r="D80">
        <v>922.86797999999999</v>
      </c>
      <c r="E80">
        <v>2.1440000000000126E-2</v>
      </c>
      <c r="F80">
        <f t="shared" si="4"/>
        <v>21.440000000000126</v>
      </c>
      <c r="G80">
        <f t="shared" si="5"/>
        <v>43.044215485074375</v>
      </c>
      <c r="H80" t="s">
        <v>27</v>
      </c>
      <c r="J80">
        <v>211</v>
      </c>
      <c r="K80" t="s">
        <v>3</v>
      </c>
      <c r="L80" t="s">
        <v>29</v>
      </c>
      <c r="M80">
        <v>922.86797999999999</v>
      </c>
      <c r="N80">
        <v>2.1440000000000001E-2</v>
      </c>
      <c r="O80">
        <v>21.44</v>
      </c>
      <c r="P80">
        <v>43.044215489999999</v>
      </c>
      <c r="Q80" t="s">
        <v>27</v>
      </c>
    </row>
    <row r="81" spans="1:21" x14ac:dyDescent="0.2">
      <c r="A81">
        <v>212</v>
      </c>
      <c r="B81" t="s">
        <v>2</v>
      </c>
      <c r="C81" t="s">
        <v>25</v>
      </c>
      <c r="D81">
        <v>0</v>
      </c>
      <c r="E81">
        <v>2.4189999999999046E-2</v>
      </c>
      <c r="F81">
        <f t="shared" si="4"/>
        <v>24.189999999999046</v>
      </c>
      <c r="G81">
        <f t="shared" si="5"/>
        <v>0</v>
      </c>
      <c r="H81" t="s">
        <v>27</v>
      </c>
      <c r="J81">
        <v>212</v>
      </c>
      <c r="K81" t="s">
        <v>2</v>
      </c>
      <c r="L81" t="s">
        <v>25</v>
      </c>
      <c r="M81">
        <v>0</v>
      </c>
      <c r="N81">
        <v>2.419E-2</v>
      </c>
      <c r="O81">
        <v>24.19</v>
      </c>
      <c r="P81">
        <v>0</v>
      </c>
      <c r="Q81" t="s">
        <v>27</v>
      </c>
    </row>
    <row r="82" spans="1:21" x14ac:dyDescent="0.2">
      <c r="A82">
        <v>213</v>
      </c>
      <c r="B82" t="s">
        <v>3</v>
      </c>
      <c r="C82" t="s">
        <v>29</v>
      </c>
      <c r="D82">
        <v>0</v>
      </c>
      <c r="E82">
        <v>1.8159999999999954E-2</v>
      </c>
      <c r="F82">
        <f t="shared" si="4"/>
        <v>18.159999999999954</v>
      </c>
      <c r="G82">
        <f t="shared" si="5"/>
        <v>0</v>
      </c>
      <c r="H82" t="s">
        <v>33</v>
      </c>
      <c r="J82">
        <v>213</v>
      </c>
      <c r="K82" t="s">
        <v>3</v>
      </c>
      <c r="L82" t="s">
        <v>29</v>
      </c>
      <c r="M82">
        <v>0</v>
      </c>
      <c r="N82">
        <v>1.8159999999999999E-2</v>
      </c>
      <c r="O82">
        <v>18.16</v>
      </c>
      <c r="P82">
        <v>0</v>
      </c>
      <c r="Q82" t="s">
        <v>33</v>
      </c>
      <c r="S82" t="s">
        <v>203</v>
      </c>
    </row>
    <row r="83" spans="1:21" x14ac:dyDescent="0.2">
      <c r="A83">
        <v>216</v>
      </c>
      <c r="B83" t="s">
        <v>3</v>
      </c>
      <c r="C83" t="s">
        <v>35</v>
      </c>
      <c r="D83">
        <v>909.59851000000003</v>
      </c>
      <c r="E83">
        <v>1.8469999999998876E-2</v>
      </c>
      <c r="F83">
        <f t="shared" si="4"/>
        <v>18.469999999998876</v>
      </c>
      <c r="G83">
        <f t="shared" si="5"/>
        <v>49.247347590690602</v>
      </c>
      <c r="H83" t="s">
        <v>27</v>
      </c>
      <c r="J83">
        <v>216</v>
      </c>
      <c r="K83" t="s">
        <v>3</v>
      </c>
      <c r="L83" t="s">
        <v>35</v>
      </c>
      <c r="M83">
        <v>909.59851000000003</v>
      </c>
      <c r="N83">
        <v>1.847E-2</v>
      </c>
      <c r="O83">
        <v>18.47</v>
      </c>
      <c r="P83">
        <v>49.247347589999997</v>
      </c>
      <c r="Q83" t="s">
        <v>27</v>
      </c>
    </row>
    <row r="84" spans="1:21" x14ac:dyDescent="0.2">
      <c r="A84">
        <v>217</v>
      </c>
      <c r="B84" t="s">
        <v>2</v>
      </c>
      <c r="C84" t="s">
        <v>25</v>
      </c>
      <c r="D84">
        <v>0</v>
      </c>
      <c r="E84">
        <v>2.739000000000047E-2</v>
      </c>
      <c r="F84">
        <f t="shared" si="4"/>
        <v>27.39000000000047</v>
      </c>
      <c r="G84">
        <f t="shared" si="5"/>
        <v>0</v>
      </c>
      <c r="H84" t="s">
        <v>33</v>
      </c>
      <c r="J84">
        <v>217</v>
      </c>
      <c r="K84" t="s">
        <v>2</v>
      </c>
      <c r="L84" t="s">
        <v>25</v>
      </c>
      <c r="M84">
        <v>0</v>
      </c>
      <c r="N84">
        <v>2.7390000000000001E-2</v>
      </c>
      <c r="O84">
        <v>27.39</v>
      </c>
      <c r="P84">
        <v>0</v>
      </c>
      <c r="Q84" t="s">
        <v>33</v>
      </c>
      <c r="S84" t="s">
        <v>204</v>
      </c>
      <c r="T84" t="s">
        <v>205</v>
      </c>
      <c r="U84" t="s">
        <v>206</v>
      </c>
    </row>
    <row r="85" spans="1:21" x14ac:dyDescent="0.2">
      <c r="A85">
        <v>218</v>
      </c>
      <c r="B85" t="s">
        <v>3</v>
      </c>
      <c r="C85" t="s">
        <v>29</v>
      </c>
      <c r="D85">
        <v>1300.4727800000001</v>
      </c>
      <c r="E85">
        <v>2.1160000000000068E-2</v>
      </c>
      <c r="F85">
        <f t="shared" si="4"/>
        <v>21.160000000000068</v>
      </c>
      <c r="G85">
        <f t="shared" si="5"/>
        <v>61.459016068052733</v>
      </c>
      <c r="H85" t="s">
        <v>33</v>
      </c>
      <c r="J85">
        <v>218</v>
      </c>
      <c r="K85" t="s">
        <v>3</v>
      </c>
      <c r="L85" t="s">
        <v>29</v>
      </c>
      <c r="M85">
        <v>1300.4727800000001</v>
      </c>
      <c r="N85">
        <v>2.1160000000000002E-2</v>
      </c>
      <c r="O85">
        <v>21.16</v>
      </c>
      <c r="P85">
        <v>61.459016069999997</v>
      </c>
      <c r="Q85" t="s">
        <v>33</v>
      </c>
      <c r="S85">
        <v>559</v>
      </c>
      <c r="T85">
        <v>-1.24986</v>
      </c>
      <c r="U85">
        <v>0.2114</v>
      </c>
    </row>
    <row r="86" spans="1:21" x14ac:dyDescent="0.2">
      <c r="A86">
        <v>219</v>
      </c>
      <c r="B86" t="s">
        <v>2</v>
      </c>
      <c r="C86" t="s">
        <v>29</v>
      </c>
      <c r="D86">
        <v>592.19195999999999</v>
      </c>
      <c r="E86">
        <v>2.25799999999996E-2</v>
      </c>
      <c r="F86">
        <f t="shared" si="4"/>
        <v>22.5799999999996</v>
      </c>
      <c r="G86">
        <f t="shared" si="5"/>
        <v>26.22639326837956</v>
      </c>
      <c r="H86" t="s">
        <v>33</v>
      </c>
      <c r="J86">
        <v>219</v>
      </c>
      <c r="K86" t="s">
        <v>2</v>
      </c>
      <c r="L86" t="s">
        <v>29</v>
      </c>
      <c r="M86">
        <v>592.19195999999999</v>
      </c>
      <c r="N86">
        <v>2.2579999999999999E-2</v>
      </c>
      <c r="O86">
        <v>22.58</v>
      </c>
      <c r="P86">
        <v>26.226393269999999</v>
      </c>
      <c r="Q86" t="s">
        <v>33</v>
      </c>
    </row>
    <row r="87" spans="1:21" x14ac:dyDescent="0.2">
      <c r="A87">
        <v>220</v>
      </c>
      <c r="B87" t="s">
        <v>2</v>
      </c>
      <c r="C87" t="s">
        <v>25</v>
      </c>
      <c r="D87">
        <v>0</v>
      </c>
      <c r="E87">
        <v>2.289999999999992E-2</v>
      </c>
      <c r="F87">
        <f t="shared" si="4"/>
        <v>22.89999999999992</v>
      </c>
      <c r="G87">
        <f t="shared" si="5"/>
        <v>0</v>
      </c>
      <c r="H87" t="s">
        <v>27</v>
      </c>
      <c r="J87">
        <v>220</v>
      </c>
      <c r="K87" t="s">
        <v>2</v>
      </c>
      <c r="L87" t="s">
        <v>25</v>
      </c>
      <c r="M87">
        <v>0</v>
      </c>
      <c r="N87">
        <v>2.29E-2</v>
      </c>
      <c r="O87">
        <v>22.9</v>
      </c>
      <c r="P87">
        <v>0</v>
      </c>
      <c r="Q87" t="s">
        <v>27</v>
      </c>
    </row>
    <row r="88" spans="1:21" x14ac:dyDescent="0.2">
      <c r="A88">
        <v>224</v>
      </c>
      <c r="B88" t="s">
        <v>2</v>
      </c>
      <c r="C88" t="s">
        <v>25</v>
      </c>
      <c r="D88">
        <v>719.24652000000003</v>
      </c>
      <c r="E88">
        <v>2.2640000000000882E-2</v>
      </c>
      <c r="F88">
        <f t="shared" si="4"/>
        <v>22.640000000000882</v>
      </c>
      <c r="G88">
        <f t="shared" si="5"/>
        <v>31.768839222613604</v>
      </c>
      <c r="H88" t="s">
        <v>27</v>
      </c>
      <c r="J88">
        <v>224</v>
      </c>
      <c r="K88" t="s">
        <v>2</v>
      </c>
      <c r="L88" t="s">
        <v>25</v>
      </c>
      <c r="M88">
        <v>719.24652000000003</v>
      </c>
      <c r="N88">
        <v>2.264E-2</v>
      </c>
      <c r="O88">
        <v>22.64</v>
      </c>
      <c r="P88">
        <v>31.76883922</v>
      </c>
      <c r="Q88" t="s">
        <v>27</v>
      </c>
    </row>
    <row r="89" spans="1:21" x14ac:dyDescent="0.2">
      <c r="A89">
        <v>225</v>
      </c>
      <c r="B89" t="s">
        <v>3</v>
      </c>
      <c r="C89" t="s">
        <v>29</v>
      </c>
      <c r="D89">
        <v>822.87505999999996</v>
      </c>
      <c r="E89">
        <v>1.7679999999998586E-2</v>
      </c>
      <c r="F89">
        <f t="shared" si="4"/>
        <v>17.679999999998586</v>
      </c>
      <c r="G89">
        <f t="shared" si="5"/>
        <v>46.542707013578379</v>
      </c>
      <c r="H89" t="s">
        <v>33</v>
      </c>
      <c r="J89">
        <v>225</v>
      </c>
      <c r="K89" t="s">
        <v>3</v>
      </c>
      <c r="L89" t="s">
        <v>29</v>
      </c>
      <c r="M89">
        <v>822.87505999999996</v>
      </c>
      <c r="N89">
        <v>1.7680000000000001E-2</v>
      </c>
      <c r="O89">
        <v>17.68</v>
      </c>
      <c r="P89">
        <v>46.542707010000001</v>
      </c>
      <c r="Q89" t="s">
        <v>33</v>
      </c>
    </row>
    <row r="90" spans="1:21" x14ac:dyDescent="0.2">
      <c r="A90">
        <v>229</v>
      </c>
      <c r="B90" t="s">
        <v>3</v>
      </c>
      <c r="C90" t="s">
        <v>29</v>
      </c>
      <c r="D90">
        <v>894.45061999999996</v>
      </c>
      <c r="E90">
        <v>2.1209999999999951E-2</v>
      </c>
      <c r="F90">
        <f t="shared" si="4"/>
        <v>21.209999999999951</v>
      </c>
      <c r="G90">
        <f t="shared" si="5"/>
        <v>42.171174917491847</v>
      </c>
      <c r="H90" t="s">
        <v>27</v>
      </c>
      <c r="J90">
        <v>229</v>
      </c>
      <c r="K90" t="s">
        <v>3</v>
      </c>
      <c r="L90" t="s">
        <v>29</v>
      </c>
      <c r="M90">
        <v>894.45061999999996</v>
      </c>
      <c r="N90">
        <v>2.121E-2</v>
      </c>
      <c r="O90">
        <v>21.21</v>
      </c>
      <c r="P90">
        <v>42.171174919999999</v>
      </c>
      <c r="Q90" t="s">
        <v>27</v>
      </c>
      <c r="S90" t="s">
        <v>198</v>
      </c>
    </row>
    <row r="91" spans="1:21" x14ac:dyDescent="0.2">
      <c r="A91">
        <v>230</v>
      </c>
      <c r="B91" t="s">
        <v>3</v>
      </c>
      <c r="C91" t="s">
        <v>35</v>
      </c>
      <c r="D91">
        <v>659.27673000000004</v>
      </c>
      <c r="E91">
        <v>1.6740000000000421E-2</v>
      </c>
      <c r="F91">
        <f t="shared" si="4"/>
        <v>16.740000000000421</v>
      </c>
      <c r="G91">
        <f t="shared" si="5"/>
        <v>39.383317204300084</v>
      </c>
      <c r="H91" t="s">
        <v>33</v>
      </c>
      <c r="J91">
        <v>230</v>
      </c>
      <c r="K91" t="s">
        <v>3</v>
      </c>
      <c r="L91" t="s">
        <v>35</v>
      </c>
      <c r="M91">
        <v>659.27673000000004</v>
      </c>
      <c r="N91">
        <v>1.6740000000000001E-2</v>
      </c>
      <c r="O91">
        <v>16.739999999999998</v>
      </c>
      <c r="P91">
        <v>39.3833172</v>
      </c>
      <c r="Q91" t="s">
        <v>33</v>
      </c>
    </row>
    <row r="92" spans="1:21" x14ac:dyDescent="0.2">
      <c r="A92">
        <v>233</v>
      </c>
      <c r="B92" s="10" t="s">
        <v>3</v>
      </c>
      <c r="C92" s="10" t="s">
        <v>29</v>
      </c>
      <c r="D92">
        <v>867.01624000000004</v>
      </c>
      <c r="E92">
        <v>1.8400000000001526E-2</v>
      </c>
      <c r="F92">
        <f t="shared" si="4"/>
        <v>18.400000000001526</v>
      </c>
      <c r="G92">
        <f t="shared" si="5"/>
        <v>47.120447826083051</v>
      </c>
      <c r="H92" t="s">
        <v>27</v>
      </c>
      <c r="J92">
        <v>233</v>
      </c>
      <c r="K92" t="s">
        <v>3</v>
      </c>
      <c r="L92" t="s">
        <v>29</v>
      </c>
      <c r="M92">
        <v>867.01624000000004</v>
      </c>
      <c r="N92">
        <v>1.84E-2</v>
      </c>
      <c r="O92">
        <v>18.399999999999999</v>
      </c>
      <c r="P92">
        <v>47.120447830000003</v>
      </c>
      <c r="Q92" t="s">
        <v>27</v>
      </c>
      <c r="S92" t="s">
        <v>199</v>
      </c>
      <c r="T92" t="s">
        <v>114</v>
      </c>
      <c r="U92" t="s">
        <v>200</v>
      </c>
    </row>
    <row r="93" spans="1:21" x14ac:dyDescent="0.2">
      <c r="A93" s="10">
        <v>234</v>
      </c>
      <c r="B93" t="s">
        <v>3</v>
      </c>
      <c r="C93" t="s">
        <v>35</v>
      </c>
      <c r="D93">
        <v>1225.24963</v>
      </c>
      <c r="E93">
        <v>1.775999999999911E-2</v>
      </c>
      <c r="F93">
        <f t="shared" si="4"/>
        <v>17.75999999999911</v>
      </c>
      <c r="G93">
        <f t="shared" si="5"/>
        <v>68.989280968471931</v>
      </c>
      <c r="H93" s="10" t="s">
        <v>33</v>
      </c>
      <c r="J93">
        <v>234</v>
      </c>
      <c r="K93" t="s">
        <v>3</v>
      </c>
      <c r="L93" t="s">
        <v>35</v>
      </c>
      <c r="M93">
        <v>1225.24963</v>
      </c>
      <c r="N93">
        <v>1.7760000000000001E-2</v>
      </c>
      <c r="O93">
        <v>17.760000000000002</v>
      </c>
      <c r="P93">
        <v>68.989280969999996</v>
      </c>
      <c r="Q93" s="10" t="s">
        <v>33</v>
      </c>
      <c r="S93">
        <v>1.5865</v>
      </c>
      <c r="T93">
        <v>1</v>
      </c>
      <c r="U93" s="23">
        <v>0.20780000000000001</v>
      </c>
    </row>
    <row r="94" spans="1:21" x14ac:dyDescent="0.2">
      <c r="A94">
        <v>235</v>
      </c>
      <c r="B94" t="s">
        <v>3</v>
      </c>
      <c r="C94" t="s">
        <v>35</v>
      </c>
      <c r="D94">
        <v>1096.8194599999999</v>
      </c>
      <c r="E94">
        <v>2.023999999999937E-2</v>
      </c>
      <c r="F94">
        <f t="shared" si="4"/>
        <v>20.23999999999937</v>
      </c>
      <c r="G94">
        <f t="shared" si="5"/>
        <v>54.190684782610383</v>
      </c>
      <c r="H94" t="s">
        <v>27</v>
      </c>
      <c r="J94">
        <v>235</v>
      </c>
      <c r="K94" t="s">
        <v>3</v>
      </c>
      <c r="L94" t="s">
        <v>35</v>
      </c>
      <c r="M94">
        <v>1096.8194599999999</v>
      </c>
      <c r="N94">
        <v>2.0240000000000001E-2</v>
      </c>
      <c r="O94">
        <v>20.239999999999998</v>
      </c>
      <c r="P94">
        <v>54.190684779999998</v>
      </c>
      <c r="Q94" t="s">
        <v>27</v>
      </c>
    </row>
    <row r="95" spans="1:21" x14ac:dyDescent="0.2">
      <c r="A95">
        <v>236</v>
      </c>
      <c r="B95" t="s">
        <v>3</v>
      </c>
      <c r="C95" t="s">
        <v>29</v>
      </c>
      <c r="D95">
        <v>632.56470000000002</v>
      </c>
      <c r="E95">
        <v>1.7870000000000275E-2</v>
      </c>
      <c r="F95">
        <f t="shared" si="4"/>
        <v>17.870000000000275</v>
      </c>
      <c r="G95">
        <f t="shared" si="5"/>
        <v>35.398136541689439</v>
      </c>
      <c r="H95" t="s">
        <v>27</v>
      </c>
      <c r="J95">
        <v>236</v>
      </c>
      <c r="K95" t="s">
        <v>3</v>
      </c>
      <c r="L95" t="s">
        <v>29</v>
      </c>
      <c r="M95">
        <v>632.56470000000002</v>
      </c>
      <c r="N95">
        <v>1.787E-2</v>
      </c>
      <c r="O95">
        <v>17.87</v>
      </c>
      <c r="P95">
        <v>35.398136540000003</v>
      </c>
      <c r="Q95" t="s">
        <v>27</v>
      </c>
    </row>
    <row r="96" spans="1:21" x14ac:dyDescent="0.2">
      <c r="A96">
        <v>244</v>
      </c>
      <c r="B96" t="s">
        <v>3</v>
      </c>
      <c r="C96" t="s">
        <v>25</v>
      </c>
      <c r="D96">
        <v>737.99194</v>
      </c>
      <c r="E96">
        <v>1.8779999999999575E-2</v>
      </c>
      <c r="F96">
        <f t="shared" si="4"/>
        <v>18.779999999999575</v>
      </c>
      <c r="G96">
        <f t="shared" si="5"/>
        <v>39.296695420661166</v>
      </c>
      <c r="H96" t="s">
        <v>33</v>
      </c>
      <c r="J96">
        <v>244</v>
      </c>
      <c r="K96" t="s">
        <v>3</v>
      </c>
      <c r="L96" t="s">
        <v>25</v>
      </c>
      <c r="M96">
        <v>737.99194</v>
      </c>
      <c r="N96">
        <v>1.8780000000000002E-2</v>
      </c>
      <c r="O96">
        <v>18.78</v>
      </c>
      <c r="P96">
        <v>39.296695419999999</v>
      </c>
      <c r="Q96" t="s">
        <v>33</v>
      </c>
    </row>
    <row r="97" spans="1:32" x14ac:dyDescent="0.2">
      <c r="A97">
        <v>245</v>
      </c>
      <c r="B97" t="s">
        <v>3</v>
      </c>
      <c r="C97" t="s">
        <v>29</v>
      </c>
      <c r="D97">
        <v>0</v>
      </c>
      <c r="E97">
        <v>2.6819999999998956E-2</v>
      </c>
      <c r="F97">
        <f t="shared" si="4"/>
        <v>26.819999999998956</v>
      </c>
      <c r="G97">
        <f t="shared" si="5"/>
        <v>0</v>
      </c>
      <c r="H97" t="s">
        <v>27</v>
      </c>
      <c r="J97">
        <v>245</v>
      </c>
      <c r="K97" t="s">
        <v>3</v>
      </c>
      <c r="L97" t="s">
        <v>29</v>
      </c>
      <c r="M97">
        <v>0</v>
      </c>
      <c r="N97">
        <v>2.682E-2</v>
      </c>
      <c r="O97">
        <v>26.82</v>
      </c>
      <c r="P97">
        <v>0</v>
      </c>
      <c r="Q97" t="s">
        <v>27</v>
      </c>
    </row>
    <row r="98" spans="1:32" x14ac:dyDescent="0.2">
      <c r="A98">
        <v>248</v>
      </c>
      <c r="B98" t="s">
        <v>2</v>
      </c>
      <c r="C98" t="s">
        <v>29</v>
      </c>
      <c r="D98">
        <v>1471.46423</v>
      </c>
      <c r="E98">
        <v>1.9429999999999836E-2</v>
      </c>
      <c r="F98">
        <f t="shared" si="4"/>
        <v>19.429999999999836</v>
      </c>
      <c r="G98">
        <f t="shared" si="5"/>
        <v>75.731560988163281</v>
      </c>
      <c r="H98" t="s">
        <v>33</v>
      </c>
      <c r="J98">
        <v>248</v>
      </c>
      <c r="K98" t="s">
        <v>2</v>
      </c>
      <c r="L98" t="s">
        <v>29</v>
      </c>
      <c r="M98">
        <v>1471.46423</v>
      </c>
      <c r="N98">
        <v>1.9429999999999999E-2</v>
      </c>
      <c r="O98">
        <v>19.43</v>
      </c>
      <c r="P98">
        <v>75.731560990000006</v>
      </c>
      <c r="Q98" t="s">
        <v>33</v>
      </c>
    </row>
    <row r="99" spans="1:32" x14ac:dyDescent="0.2">
      <c r="A99">
        <v>251</v>
      </c>
      <c r="B99" t="s">
        <v>2</v>
      </c>
      <c r="C99" t="s">
        <v>35</v>
      </c>
      <c r="D99">
        <v>680.25891000000001</v>
      </c>
      <c r="E99">
        <v>2.1380000000000621E-2</v>
      </c>
      <c r="F99">
        <f t="shared" si="4"/>
        <v>21.380000000000621</v>
      </c>
      <c r="G99">
        <f t="shared" si="5"/>
        <v>31.817535547239487</v>
      </c>
      <c r="H99" t="s">
        <v>33</v>
      </c>
      <c r="J99">
        <v>251</v>
      </c>
      <c r="K99" t="s">
        <v>2</v>
      </c>
      <c r="L99" t="s">
        <v>35</v>
      </c>
      <c r="M99">
        <v>680.25891000000001</v>
      </c>
      <c r="N99">
        <v>2.138E-2</v>
      </c>
      <c r="O99">
        <v>21.38</v>
      </c>
      <c r="P99">
        <v>31.817535549999999</v>
      </c>
      <c r="Q99" t="s">
        <v>33</v>
      </c>
    </row>
    <row r="100" spans="1:32" x14ac:dyDescent="0.2">
      <c r="A100">
        <v>252</v>
      </c>
      <c r="B100" t="s">
        <v>2</v>
      </c>
      <c r="C100" t="s">
        <v>35</v>
      </c>
      <c r="D100">
        <v>0</v>
      </c>
      <c r="E100">
        <v>2.4550000000001404E-2</v>
      </c>
      <c r="F100">
        <f t="shared" ref="F100:F131" si="6">E100*1000</f>
        <v>24.550000000001404</v>
      </c>
      <c r="G100">
        <f t="shared" ref="G100:G131" si="7">D100/F100</f>
        <v>0</v>
      </c>
      <c r="H100" t="s">
        <v>27</v>
      </c>
      <c r="J100">
        <v>252</v>
      </c>
      <c r="K100" t="s">
        <v>2</v>
      </c>
      <c r="L100" t="s">
        <v>35</v>
      </c>
      <c r="M100">
        <v>0</v>
      </c>
      <c r="N100">
        <v>2.4549999999999999E-2</v>
      </c>
      <c r="O100">
        <v>24.55</v>
      </c>
      <c r="P100">
        <v>0</v>
      </c>
      <c r="Q100" t="s">
        <v>27</v>
      </c>
    </row>
    <row r="101" spans="1:32" x14ac:dyDescent="0.2">
      <c r="A101">
        <v>253</v>
      </c>
      <c r="B101" t="s">
        <v>2</v>
      </c>
      <c r="C101" t="s">
        <v>25</v>
      </c>
      <c r="D101">
        <v>0</v>
      </c>
      <c r="E101">
        <v>2.1530000000000271E-2</v>
      </c>
      <c r="F101">
        <f t="shared" si="6"/>
        <v>21.530000000000271</v>
      </c>
      <c r="G101">
        <f t="shared" si="7"/>
        <v>0</v>
      </c>
      <c r="H101" t="s">
        <v>27</v>
      </c>
      <c r="J101">
        <v>253</v>
      </c>
      <c r="K101" t="s">
        <v>2</v>
      </c>
      <c r="L101" t="s">
        <v>25</v>
      </c>
      <c r="M101">
        <v>0</v>
      </c>
      <c r="N101">
        <v>2.1530000000000001E-2</v>
      </c>
      <c r="O101">
        <v>21.53</v>
      </c>
      <c r="P101">
        <v>0</v>
      </c>
      <c r="Q101" t="s">
        <v>27</v>
      </c>
    </row>
    <row r="102" spans="1:32" x14ac:dyDescent="0.2">
      <c r="A102">
        <v>261</v>
      </c>
      <c r="B102" t="s">
        <v>3</v>
      </c>
      <c r="C102" t="s">
        <v>35</v>
      </c>
      <c r="D102">
        <v>0</v>
      </c>
      <c r="E102">
        <v>2.7510000000001256E-2</v>
      </c>
      <c r="F102">
        <f t="shared" si="6"/>
        <v>27.510000000001256</v>
      </c>
      <c r="G102">
        <f t="shared" si="7"/>
        <v>0</v>
      </c>
      <c r="H102" t="s">
        <v>27</v>
      </c>
      <c r="J102">
        <v>261</v>
      </c>
      <c r="K102" t="s">
        <v>3</v>
      </c>
      <c r="L102" t="s">
        <v>35</v>
      </c>
      <c r="M102">
        <v>0</v>
      </c>
      <c r="N102">
        <v>2.751E-2</v>
      </c>
      <c r="O102">
        <v>27.51</v>
      </c>
      <c r="P102">
        <v>0</v>
      </c>
      <c r="Q102" t="s">
        <v>27</v>
      </c>
    </row>
    <row r="103" spans="1:32" x14ac:dyDescent="0.2">
      <c r="A103">
        <v>262</v>
      </c>
      <c r="B103" t="s">
        <v>3</v>
      </c>
      <c r="C103" t="s">
        <v>25</v>
      </c>
      <c r="D103">
        <v>1419.1099899999999</v>
      </c>
      <c r="E103">
        <v>2.4510000000001142E-2</v>
      </c>
      <c r="F103">
        <f t="shared" si="6"/>
        <v>24.510000000001142</v>
      </c>
      <c r="G103">
        <f t="shared" si="7"/>
        <v>57.899224398202115</v>
      </c>
      <c r="H103" t="s">
        <v>27</v>
      </c>
      <c r="J103">
        <v>262</v>
      </c>
      <c r="K103" t="s">
        <v>3</v>
      </c>
      <c r="L103" t="s">
        <v>25</v>
      </c>
      <c r="M103">
        <v>1419.1099899999999</v>
      </c>
      <c r="N103">
        <v>2.4510000000000001E-2</v>
      </c>
      <c r="O103">
        <v>24.51</v>
      </c>
      <c r="P103">
        <v>57.899224400000001</v>
      </c>
      <c r="Q103" t="s">
        <v>27</v>
      </c>
    </row>
    <row r="104" spans="1:32" x14ac:dyDescent="0.2">
      <c r="A104">
        <v>265</v>
      </c>
      <c r="B104" t="s">
        <v>2</v>
      </c>
      <c r="C104" t="s">
        <v>25</v>
      </c>
      <c r="D104">
        <v>596.78137000000004</v>
      </c>
      <c r="E104">
        <v>1.7819999999998615E-2</v>
      </c>
      <c r="F104">
        <f t="shared" si="6"/>
        <v>17.819999999998615</v>
      </c>
      <c r="G104">
        <f t="shared" si="7"/>
        <v>33.489414702583971</v>
      </c>
      <c r="H104" t="s">
        <v>33</v>
      </c>
      <c r="J104">
        <v>265</v>
      </c>
      <c r="K104" t="s">
        <v>2</v>
      </c>
      <c r="L104" t="s">
        <v>25</v>
      </c>
      <c r="M104">
        <v>596.78137000000004</v>
      </c>
      <c r="N104">
        <v>1.7819999999999999E-2</v>
      </c>
      <c r="O104">
        <v>17.82</v>
      </c>
      <c r="P104">
        <v>33.489414699999998</v>
      </c>
      <c r="Q104" t="s">
        <v>33</v>
      </c>
      <c r="AF104" t="s">
        <v>254</v>
      </c>
    </row>
    <row r="105" spans="1:32" x14ac:dyDescent="0.2">
      <c r="A105">
        <v>266</v>
      </c>
      <c r="B105" t="s">
        <v>3</v>
      </c>
      <c r="C105" t="s">
        <v>25</v>
      </c>
      <c r="D105">
        <v>0</v>
      </c>
      <c r="E105">
        <v>2.3859999999999104E-2</v>
      </c>
      <c r="F105">
        <f t="shared" si="6"/>
        <v>23.859999999999104</v>
      </c>
      <c r="G105">
        <f t="shared" si="7"/>
        <v>0</v>
      </c>
      <c r="H105" t="s">
        <v>33</v>
      </c>
      <c r="J105">
        <v>266</v>
      </c>
      <c r="K105" t="s">
        <v>3</v>
      </c>
      <c r="L105" t="s">
        <v>25</v>
      </c>
      <c r="M105">
        <v>0</v>
      </c>
      <c r="N105">
        <v>2.3859999999999999E-2</v>
      </c>
      <c r="O105">
        <v>23.86</v>
      </c>
      <c r="P105">
        <v>0</v>
      </c>
      <c r="Q105" t="s">
        <v>33</v>
      </c>
    </row>
    <row r="106" spans="1:32" x14ac:dyDescent="0.2">
      <c r="A106">
        <v>267</v>
      </c>
      <c r="B106" t="s">
        <v>2</v>
      </c>
      <c r="C106" t="s">
        <v>29</v>
      </c>
      <c r="D106">
        <v>667.19304999999997</v>
      </c>
      <c r="E106">
        <v>2.0500000000000185E-2</v>
      </c>
      <c r="F106">
        <f t="shared" si="6"/>
        <v>20.500000000000185</v>
      </c>
      <c r="G106">
        <f t="shared" si="7"/>
        <v>32.546002439024093</v>
      </c>
      <c r="H106" t="s">
        <v>33</v>
      </c>
      <c r="J106">
        <v>267</v>
      </c>
      <c r="K106" t="s">
        <v>2</v>
      </c>
      <c r="L106" t="s">
        <v>29</v>
      </c>
      <c r="M106">
        <v>667.19304999999997</v>
      </c>
      <c r="N106">
        <v>2.0500000000000001E-2</v>
      </c>
      <c r="O106">
        <v>20.5</v>
      </c>
      <c r="P106">
        <v>32.546002440000002</v>
      </c>
      <c r="Q106" t="s">
        <v>33</v>
      </c>
    </row>
    <row r="107" spans="1:32" x14ac:dyDescent="0.2">
      <c r="A107">
        <v>268</v>
      </c>
      <c r="B107" t="s">
        <v>3</v>
      </c>
      <c r="C107" t="s">
        <v>29</v>
      </c>
      <c r="D107">
        <v>893.61432000000002</v>
      </c>
      <c r="E107">
        <v>2.2819999999999396E-2</v>
      </c>
      <c r="F107">
        <f t="shared" si="6"/>
        <v>22.819999999999396</v>
      </c>
      <c r="G107">
        <f t="shared" si="7"/>
        <v>39.159260297985263</v>
      </c>
      <c r="H107" t="s">
        <v>27</v>
      </c>
      <c r="J107">
        <v>268</v>
      </c>
      <c r="K107" t="s">
        <v>3</v>
      </c>
      <c r="L107" t="s">
        <v>29</v>
      </c>
      <c r="M107">
        <v>893.61432000000002</v>
      </c>
      <c r="N107">
        <v>2.282E-2</v>
      </c>
      <c r="O107">
        <v>22.82</v>
      </c>
      <c r="P107">
        <v>39.1592603</v>
      </c>
      <c r="Q107" t="s">
        <v>27</v>
      </c>
      <c r="AF107" t="s">
        <v>60</v>
      </c>
    </row>
    <row r="108" spans="1:32" x14ac:dyDescent="0.2">
      <c r="A108">
        <v>269</v>
      </c>
      <c r="B108" t="s">
        <v>3</v>
      </c>
      <c r="C108" t="s">
        <v>35</v>
      </c>
      <c r="D108">
        <v>5275.90967</v>
      </c>
      <c r="E108">
        <v>1.7800000000001148E-2</v>
      </c>
      <c r="F108">
        <f t="shared" si="6"/>
        <v>17.800000000001148</v>
      </c>
      <c r="G108" s="23">
        <f t="shared" si="7"/>
        <v>296.39941966290223</v>
      </c>
      <c r="H108" t="s">
        <v>33</v>
      </c>
      <c r="J108">
        <v>269</v>
      </c>
      <c r="K108" t="s">
        <v>3</v>
      </c>
      <c r="L108" t="s">
        <v>35</v>
      </c>
      <c r="M108">
        <v>5275.90967</v>
      </c>
      <c r="N108">
        <v>1.78E-2</v>
      </c>
      <c r="O108">
        <v>17.8</v>
      </c>
      <c r="Q108" t="s">
        <v>33</v>
      </c>
    </row>
    <row r="109" spans="1:32" x14ac:dyDescent="0.2">
      <c r="A109">
        <v>271</v>
      </c>
      <c r="B109" t="s">
        <v>2</v>
      </c>
      <c r="C109" t="s">
        <v>35</v>
      </c>
      <c r="D109">
        <v>0</v>
      </c>
      <c r="E109">
        <v>2.2510000000000474E-2</v>
      </c>
      <c r="F109">
        <f t="shared" si="6"/>
        <v>22.510000000000474</v>
      </c>
      <c r="G109">
        <f t="shared" si="7"/>
        <v>0</v>
      </c>
      <c r="H109" t="s">
        <v>27</v>
      </c>
      <c r="J109">
        <v>271</v>
      </c>
      <c r="K109" t="s">
        <v>2</v>
      </c>
      <c r="L109" t="s">
        <v>35</v>
      </c>
      <c r="M109">
        <v>0</v>
      </c>
      <c r="N109">
        <v>2.2509999999999999E-2</v>
      </c>
      <c r="O109">
        <v>22.51</v>
      </c>
      <c r="P109">
        <v>0</v>
      </c>
      <c r="Q109" t="s">
        <v>27</v>
      </c>
    </row>
    <row r="110" spans="1:32" x14ac:dyDescent="0.2">
      <c r="A110">
        <v>272</v>
      </c>
      <c r="B110" t="s">
        <v>3</v>
      </c>
      <c r="C110" t="s">
        <v>29</v>
      </c>
      <c r="D110">
        <v>625.44732999999997</v>
      </c>
      <c r="E110">
        <v>2.4999999999998579E-2</v>
      </c>
      <c r="F110">
        <f t="shared" si="6"/>
        <v>24.999999999998579</v>
      </c>
      <c r="G110">
        <f t="shared" si="7"/>
        <v>25.017893200001421</v>
      </c>
      <c r="H110" t="s">
        <v>27</v>
      </c>
      <c r="J110">
        <v>272</v>
      </c>
      <c r="K110" t="s">
        <v>3</v>
      </c>
      <c r="L110" t="s">
        <v>29</v>
      </c>
      <c r="M110">
        <v>625.44732999999997</v>
      </c>
      <c r="N110">
        <v>2.5000000000000001E-2</v>
      </c>
      <c r="O110">
        <v>25</v>
      </c>
      <c r="P110">
        <v>25.0178932</v>
      </c>
      <c r="Q110" t="s">
        <v>27</v>
      </c>
    </row>
    <row r="111" spans="1:32" x14ac:dyDescent="0.2">
      <c r="A111">
        <v>273</v>
      </c>
      <c r="B111" t="s">
        <v>2</v>
      </c>
      <c r="C111" t="s">
        <v>25</v>
      </c>
      <c r="D111">
        <v>894.32825000000003</v>
      </c>
      <c r="E111">
        <v>2.0100000000001117E-2</v>
      </c>
      <c r="F111">
        <f t="shared" si="6"/>
        <v>20.100000000001117</v>
      </c>
      <c r="G111">
        <f t="shared" si="7"/>
        <v>44.49394278606718</v>
      </c>
      <c r="H111" t="s">
        <v>33</v>
      </c>
      <c r="J111">
        <v>273</v>
      </c>
      <c r="K111" t="s">
        <v>2</v>
      </c>
      <c r="L111" t="s">
        <v>25</v>
      </c>
      <c r="M111">
        <v>894.32825000000003</v>
      </c>
      <c r="N111">
        <v>2.01E-2</v>
      </c>
      <c r="O111">
        <v>20.100000000000001</v>
      </c>
      <c r="P111">
        <v>44.493942789999998</v>
      </c>
      <c r="Q111" t="s">
        <v>33</v>
      </c>
    </row>
    <row r="112" spans="1:32" x14ac:dyDescent="0.2">
      <c r="A112">
        <v>281</v>
      </c>
      <c r="B112" t="s">
        <v>2</v>
      </c>
      <c r="C112" t="s">
        <v>29</v>
      </c>
      <c r="D112">
        <v>0</v>
      </c>
      <c r="E112">
        <v>2.1280000000000854E-2</v>
      </c>
      <c r="F112">
        <f t="shared" si="6"/>
        <v>21.280000000000854</v>
      </c>
      <c r="G112">
        <f t="shared" si="7"/>
        <v>0</v>
      </c>
      <c r="H112" t="s">
        <v>27</v>
      </c>
      <c r="J112">
        <v>281</v>
      </c>
      <c r="K112" t="s">
        <v>2</v>
      </c>
      <c r="L112" t="s">
        <v>29</v>
      </c>
      <c r="M112">
        <v>0</v>
      </c>
      <c r="N112">
        <v>2.128E-2</v>
      </c>
      <c r="O112">
        <v>21.28</v>
      </c>
      <c r="P112">
        <v>0</v>
      </c>
      <c r="Q112" t="s">
        <v>27</v>
      </c>
    </row>
    <row r="113" spans="1:33" x14ac:dyDescent="0.2">
      <c r="A113">
        <v>282</v>
      </c>
      <c r="B113" t="s">
        <v>3</v>
      </c>
      <c r="C113" t="s">
        <v>35</v>
      </c>
      <c r="D113">
        <v>755.73461999999995</v>
      </c>
      <c r="E113">
        <v>1.9420000000000215E-2</v>
      </c>
      <c r="F113">
        <f t="shared" si="6"/>
        <v>19.420000000000215</v>
      </c>
      <c r="G113">
        <f t="shared" si="7"/>
        <v>38.915273944386797</v>
      </c>
      <c r="H113" t="s">
        <v>27</v>
      </c>
      <c r="J113">
        <v>282</v>
      </c>
      <c r="K113" t="s">
        <v>3</v>
      </c>
      <c r="L113" t="s">
        <v>35</v>
      </c>
      <c r="M113">
        <v>755.73461999999995</v>
      </c>
      <c r="N113">
        <v>1.942E-2</v>
      </c>
      <c r="O113">
        <v>19.420000000000002</v>
      </c>
      <c r="P113">
        <v>38.915273939999999</v>
      </c>
      <c r="Q113" t="s">
        <v>27</v>
      </c>
      <c r="AF113" t="s">
        <v>90</v>
      </c>
    </row>
    <row r="114" spans="1:33" x14ac:dyDescent="0.2">
      <c r="A114">
        <v>287</v>
      </c>
      <c r="B114" t="s">
        <v>2</v>
      </c>
      <c r="C114" t="s">
        <v>35</v>
      </c>
      <c r="D114">
        <v>1031.4444599999999</v>
      </c>
      <c r="E114">
        <v>2.1370000000000999E-2</v>
      </c>
      <c r="F114">
        <f t="shared" si="6"/>
        <v>21.370000000000999</v>
      </c>
      <c r="G114">
        <f t="shared" si="7"/>
        <v>48.26600187178061</v>
      </c>
      <c r="H114" t="s">
        <v>27</v>
      </c>
      <c r="J114">
        <v>287</v>
      </c>
      <c r="K114" t="s">
        <v>2</v>
      </c>
      <c r="L114" t="s">
        <v>35</v>
      </c>
      <c r="M114">
        <v>1031.4444599999999</v>
      </c>
      <c r="N114">
        <v>2.137E-2</v>
      </c>
      <c r="O114">
        <v>21.37</v>
      </c>
      <c r="P114">
        <v>48.266001869999997</v>
      </c>
      <c r="Q114" t="s">
        <v>27</v>
      </c>
    </row>
    <row r="115" spans="1:33" x14ac:dyDescent="0.2">
      <c r="A115">
        <v>288</v>
      </c>
      <c r="B115" t="s">
        <v>3</v>
      </c>
      <c r="C115" t="s">
        <v>25</v>
      </c>
      <c r="D115">
        <v>1048.7591600000001</v>
      </c>
      <c r="E115">
        <v>2.5249999999999773E-2</v>
      </c>
      <c r="F115">
        <f t="shared" si="6"/>
        <v>25.249999999999773</v>
      </c>
      <c r="G115">
        <f t="shared" si="7"/>
        <v>41.535016237624141</v>
      </c>
      <c r="H115" t="s">
        <v>27</v>
      </c>
      <c r="J115">
        <v>288</v>
      </c>
      <c r="K115" t="s">
        <v>3</v>
      </c>
      <c r="L115" t="s">
        <v>25</v>
      </c>
      <c r="M115">
        <v>1048.7591600000001</v>
      </c>
      <c r="N115">
        <v>2.5250000000000002E-2</v>
      </c>
      <c r="O115">
        <v>25.25</v>
      </c>
      <c r="P115">
        <v>41.535016239999997</v>
      </c>
      <c r="Q115" t="s">
        <v>27</v>
      </c>
      <c r="AF115" t="s">
        <v>91</v>
      </c>
      <c r="AG115" t="s">
        <v>91</v>
      </c>
    </row>
    <row r="116" spans="1:33" x14ac:dyDescent="0.2">
      <c r="A116">
        <v>290</v>
      </c>
      <c r="B116" t="s">
        <v>3</v>
      </c>
      <c r="C116" t="s">
        <v>25</v>
      </c>
      <c r="D116">
        <v>0</v>
      </c>
      <c r="E116">
        <v>2.3320000000000007E-2</v>
      </c>
      <c r="F116">
        <f t="shared" si="6"/>
        <v>23.320000000000007</v>
      </c>
      <c r="G116">
        <f t="shared" si="7"/>
        <v>0</v>
      </c>
      <c r="H116" t="s">
        <v>27</v>
      </c>
      <c r="J116">
        <v>290</v>
      </c>
      <c r="K116" t="s">
        <v>3</v>
      </c>
      <c r="L116" t="s">
        <v>25</v>
      </c>
      <c r="M116">
        <v>0</v>
      </c>
      <c r="N116">
        <v>2.332E-2</v>
      </c>
      <c r="O116">
        <v>23.32</v>
      </c>
      <c r="P116">
        <v>0</v>
      </c>
      <c r="Q116" t="s">
        <v>27</v>
      </c>
      <c r="AF116" t="s">
        <v>69</v>
      </c>
      <c r="AG116">
        <v>30.706014</v>
      </c>
    </row>
    <row r="117" spans="1:33" x14ac:dyDescent="0.2">
      <c r="A117">
        <v>291</v>
      </c>
      <c r="B117" t="s">
        <v>3</v>
      </c>
      <c r="C117" t="s">
        <v>25</v>
      </c>
      <c r="D117">
        <v>0</v>
      </c>
      <c r="E117">
        <v>2.0139999999999603E-2</v>
      </c>
      <c r="F117">
        <f t="shared" si="6"/>
        <v>20.139999999999603</v>
      </c>
      <c r="G117">
        <f t="shared" si="7"/>
        <v>0</v>
      </c>
      <c r="H117" t="s">
        <v>27</v>
      </c>
      <c r="J117">
        <v>291</v>
      </c>
      <c r="K117" t="s">
        <v>3</v>
      </c>
      <c r="L117" t="s">
        <v>25</v>
      </c>
      <c r="M117">
        <v>0</v>
      </c>
      <c r="N117">
        <v>2.0140000000000002E-2</v>
      </c>
      <c r="O117">
        <v>20.14</v>
      </c>
      <c r="P117">
        <v>0</v>
      </c>
      <c r="Q117" t="s">
        <v>27</v>
      </c>
      <c r="AF117" t="s">
        <v>92</v>
      </c>
      <c r="AG117">
        <v>21.984539999999999</v>
      </c>
    </row>
    <row r="118" spans="1:33" x14ac:dyDescent="0.2">
      <c r="A118">
        <v>293</v>
      </c>
      <c r="B118" t="s">
        <v>3</v>
      </c>
      <c r="C118" t="s">
        <v>29</v>
      </c>
      <c r="D118">
        <v>0</v>
      </c>
      <c r="E118">
        <v>2.1829999999999572E-2</v>
      </c>
      <c r="F118">
        <f t="shared" si="6"/>
        <v>21.829999999999572</v>
      </c>
      <c r="G118">
        <f t="shared" si="7"/>
        <v>0</v>
      </c>
      <c r="H118" t="s">
        <v>27</v>
      </c>
      <c r="J118">
        <v>293</v>
      </c>
      <c r="K118" t="s">
        <v>3</v>
      </c>
      <c r="L118" t="s">
        <v>29</v>
      </c>
      <c r="M118">
        <v>0</v>
      </c>
      <c r="N118">
        <v>2.1829999999999999E-2</v>
      </c>
      <c r="O118">
        <v>21.83</v>
      </c>
      <c r="P118">
        <v>0</v>
      </c>
      <c r="Q118" t="s">
        <v>27</v>
      </c>
      <c r="AF118" t="s">
        <v>93</v>
      </c>
      <c r="AG118">
        <v>3.9485399999999999</v>
      </c>
    </row>
    <row r="119" spans="1:33" x14ac:dyDescent="0.2">
      <c r="A119">
        <v>294</v>
      </c>
      <c r="B119" t="s">
        <v>3</v>
      </c>
      <c r="C119" t="s">
        <v>35</v>
      </c>
      <c r="D119">
        <v>1826.6790800000001</v>
      </c>
      <c r="E119">
        <v>2.0670000000000854E-2</v>
      </c>
      <c r="F119">
        <f t="shared" si="6"/>
        <v>20.670000000000854</v>
      </c>
      <c r="G119">
        <f t="shared" si="7"/>
        <v>88.373443638119241</v>
      </c>
      <c r="H119" t="s">
        <v>33</v>
      </c>
      <c r="J119">
        <v>294</v>
      </c>
      <c r="K119" t="s">
        <v>3</v>
      </c>
      <c r="L119" t="s">
        <v>35</v>
      </c>
      <c r="M119">
        <v>1826.6790800000001</v>
      </c>
      <c r="N119">
        <v>2.0670000000000001E-2</v>
      </c>
      <c r="O119">
        <v>20.67</v>
      </c>
      <c r="P119">
        <v>88.373443640000005</v>
      </c>
      <c r="Q119" t="s">
        <v>33</v>
      </c>
      <c r="AF119" t="s">
        <v>94</v>
      </c>
      <c r="AG119">
        <v>38.770007999999997</v>
      </c>
    </row>
    <row r="120" spans="1:33" x14ac:dyDescent="0.2">
      <c r="A120">
        <v>296</v>
      </c>
      <c r="B120" t="s">
        <v>3</v>
      </c>
      <c r="C120" t="s">
        <v>29</v>
      </c>
      <c r="D120">
        <v>0</v>
      </c>
      <c r="E120">
        <v>2.5400000000001199E-2</v>
      </c>
      <c r="F120">
        <f t="shared" si="6"/>
        <v>25.400000000001199</v>
      </c>
      <c r="G120">
        <f t="shared" si="7"/>
        <v>0</v>
      </c>
      <c r="H120" t="s">
        <v>27</v>
      </c>
      <c r="J120">
        <v>296</v>
      </c>
      <c r="K120" t="s">
        <v>3</v>
      </c>
      <c r="L120" t="s">
        <v>29</v>
      </c>
      <c r="M120">
        <v>0</v>
      </c>
      <c r="N120">
        <v>2.5399999999999999E-2</v>
      </c>
      <c r="O120">
        <v>25.4</v>
      </c>
      <c r="P120">
        <v>0</v>
      </c>
      <c r="Q120" t="s">
        <v>27</v>
      </c>
      <c r="AF120" t="s">
        <v>95</v>
      </c>
      <c r="AG120">
        <v>22.642019000000001</v>
      </c>
    </row>
    <row r="121" spans="1:33" x14ac:dyDescent="0.2">
      <c r="A121">
        <v>300</v>
      </c>
      <c r="B121" t="s">
        <v>3</v>
      </c>
      <c r="C121" t="s">
        <v>29</v>
      </c>
      <c r="D121">
        <v>1063.44678</v>
      </c>
      <c r="E121">
        <v>2.2740000000000649E-2</v>
      </c>
      <c r="F121">
        <f t="shared" si="6"/>
        <v>22.740000000000649</v>
      </c>
      <c r="G121">
        <f t="shared" si="7"/>
        <v>46.765469656990753</v>
      </c>
      <c r="H121" t="s">
        <v>27</v>
      </c>
      <c r="J121">
        <v>300</v>
      </c>
      <c r="K121" t="s">
        <v>3</v>
      </c>
      <c r="L121" t="s">
        <v>29</v>
      </c>
      <c r="M121">
        <v>1063.44678</v>
      </c>
      <c r="N121">
        <v>2.274E-2</v>
      </c>
      <c r="O121">
        <v>22.74</v>
      </c>
      <c r="P121">
        <v>46.765469660000001</v>
      </c>
      <c r="Q121" t="s">
        <v>27</v>
      </c>
      <c r="AF121" t="s">
        <v>96</v>
      </c>
      <c r="AG121">
        <v>31</v>
      </c>
    </row>
    <row r="122" spans="1:33" x14ac:dyDescent="0.2">
      <c r="A122">
        <v>302</v>
      </c>
      <c r="B122" t="s">
        <v>3</v>
      </c>
      <c r="C122" t="s">
        <v>29</v>
      </c>
      <c r="D122">
        <v>1769.73389</v>
      </c>
      <c r="E122">
        <v>1.9579999999999487E-2</v>
      </c>
      <c r="F122">
        <f t="shared" si="6"/>
        <v>19.579999999999487</v>
      </c>
      <c r="G122">
        <f t="shared" si="7"/>
        <v>90.384774770176008</v>
      </c>
      <c r="H122" t="s">
        <v>33</v>
      </c>
      <c r="J122">
        <v>302</v>
      </c>
      <c r="K122" t="s">
        <v>3</v>
      </c>
      <c r="L122" t="s">
        <v>29</v>
      </c>
      <c r="M122">
        <v>1769.73389</v>
      </c>
      <c r="N122">
        <v>1.958E-2</v>
      </c>
      <c r="O122">
        <v>19.579999999999998</v>
      </c>
      <c r="P122">
        <v>90.384774770000007</v>
      </c>
      <c r="Q122" t="s">
        <v>33</v>
      </c>
    </row>
    <row r="123" spans="1:33" x14ac:dyDescent="0.2">
      <c r="A123">
        <v>304</v>
      </c>
      <c r="B123" t="s">
        <v>3</v>
      </c>
      <c r="C123" t="s">
        <v>35</v>
      </c>
      <c r="D123">
        <v>1097.6997100000001</v>
      </c>
      <c r="E123">
        <v>1.7250000000000654E-2</v>
      </c>
      <c r="F123">
        <f t="shared" si="6"/>
        <v>17.250000000000654</v>
      </c>
      <c r="G123">
        <f t="shared" si="7"/>
        <v>63.634765797099043</v>
      </c>
      <c r="H123" t="s">
        <v>33</v>
      </c>
      <c r="J123">
        <v>304</v>
      </c>
      <c r="K123" t="s">
        <v>3</v>
      </c>
      <c r="L123" t="s">
        <v>35</v>
      </c>
      <c r="M123">
        <v>1097.6997100000001</v>
      </c>
      <c r="N123">
        <v>1.7250000000000001E-2</v>
      </c>
      <c r="O123">
        <v>17.25</v>
      </c>
      <c r="P123">
        <v>63.634765799999997</v>
      </c>
      <c r="Q123" t="s">
        <v>33</v>
      </c>
    </row>
    <row r="124" spans="1:33" x14ac:dyDescent="0.2">
      <c r="A124">
        <v>305</v>
      </c>
      <c r="B124" t="s">
        <v>3</v>
      </c>
      <c r="C124" t="s">
        <v>29</v>
      </c>
      <c r="D124">
        <v>979.06737999999996</v>
      </c>
      <c r="E124">
        <v>2.3519999999999541E-2</v>
      </c>
      <c r="F124">
        <f t="shared" si="6"/>
        <v>23.519999999999541</v>
      </c>
      <c r="G124">
        <f t="shared" si="7"/>
        <v>41.627014455783126</v>
      </c>
      <c r="H124" t="s">
        <v>27</v>
      </c>
      <c r="J124">
        <v>305</v>
      </c>
      <c r="K124" t="s">
        <v>3</v>
      </c>
      <c r="L124" t="s">
        <v>29</v>
      </c>
      <c r="M124">
        <v>979.06737999999996</v>
      </c>
      <c r="N124">
        <v>2.3519999999999999E-2</v>
      </c>
      <c r="O124">
        <v>23.52</v>
      </c>
      <c r="P124">
        <v>41.627014459999998</v>
      </c>
      <c r="Q124" t="s">
        <v>27</v>
      </c>
    </row>
    <row r="125" spans="1:33" x14ac:dyDescent="0.2">
      <c r="A125">
        <v>311</v>
      </c>
      <c r="B125" t="s">
        <v>3</v>
      </c>
      <c r="C125" t="s">
        <v>25</v>
      </c>
      <c r="D125">
        <v>0</v>
      </c>
      <c r="E125">
        <v>1.7660000000001119E-2</v>
      </c>
      <c r="F125">
        <f t="shared" si="6"/>
        <v>17.660000000001119</v>
      </c>
      <c r="G125">
        <f t="shared" si="7"/>
        <v>0</v>
      </c>
      <c r="H125" t="s">
        <v>33</v>
      </c>
      <c r="J125">
        <v>311</v>
      </c>
      <c r="K125" t="s">
        <v>3</v>
      </c>
      <c r="L125" t="s">
        <v>25</v>
      </c>
      <c r="M125">
        <v>0</v>
      </c>
      <c r="N125">
        <v>1.7659999999999999E-2</v>
      </c>
      <c r="O125">
        <v>17.66</v>
      </c>
      <c r="P125">
        <v>0</v>
      </c>
      <c r="Q125" t="s">
        <v>33</v>
      </c>
    </row>
    <row r="126" spans="1:33" x14ac:dyDescent="0.2">
      <c r="A126">
        <v>314</v>
      </c>
      <c r="B126" t="s">
        <v>3</v>
      </c>
      <c r="C126" t="s">
        <v>25</v>
      </c>
      <c r="D126">
        <v>925.40381000000002</v>
      </c>
      <c r="E126">
        <v>2.1180000000001087E-2</v>
      </c>
      <c r="F126">
        <f t="shared" si="6"/>
        <v>21.180000000001087</v>
      </c>
      <c r="G126">
        <f t="shared" si="7"/>
        <v>43.692342304058194</v>
      </c>
      <c r="H126" t="s">
        <v>27</v>
      </c>
      <c r="J126">
        <v>314</v>
      </c>
      <c r="K126" t="s">
        <v>3</v>
      </c>
      <c r="L126" t="s">
        <v>25</v>
      </c>
      <c r="M126">
        <v>925.40381000000002</v>
      </c>
      <c r="N126">
        <v>2.1180000000000001E-2</v>
      </c>
      <c r="O126">
        <v>21.18</v>
      </c>
      <c r="P126">
        <v>43.6923423</v>
      </c>
      <c r="Q126" t="s">
        <v>27</v>
      </c>
      <c r="AF126" t="s">
        <v>255</v>
      </c>
    </row>
    <row r="127" spans="1:33" x14ac:dyDescent="0.2">
      <c r="A127">
        <v>320</v>
      </c>
      <c r="B127" t="s">
        <v>2</v>
      </c>
      <c r="C127" t="s">
        <v>29</v>
      </c>
      <c r="D127">
        <v>0</v>
      </c>
      <c r="E127">
        <v>2.3200000000000998E-2</v>
      </c>
      <c r="F127">
        <f t="shared" si="6"/>
        <v>23.200000000000998</v>
      </c>
      <c r="G127">
        <f t="shared" si="7"/>
        <v>0</v>
      </c>
      <c r="H127" t="s">
        <v>33</v>
      </c>
      <c r="J127">
        <v>320</v>
      </c>
      <c r="K127" t="s">
        <v>2</v>
      </c>
      <c r="L127" t="s">
        <v>29</v>
      </c>
      <c r="M127">
        <v>0</v>
      </c>
      <c r="N127">
        <v>2.3199999999999998E-2</v>
      </c>
      <c r="O127">
        <v>23.2</v>
      </c>
      <c r="P127">
        <v>0</v>
      </c>
      <c r="Q127" t="s">
        <v>33</v>
      </c>
    </row>
    <row r="128" spans="1:33" x14ac:dyDescent="0.2">
      <c r="A128">
        <v>321</v>
      </c>
      <c r="B128" t="s">
        <v>3</v>
      </c>
      <c r="C128" t="s">
        <v>29</v>
      </c>
      <c r="D128">
        <v>1043.45569</v>
      </c>
      <c r="E128">
        <v>1.91599999999994E-2</v>
      </c>
      <c r="F128">
        <f t="shared" si="6"/>
        <v>19.1599999999994</v>
      </c>
      <c r="G128">
        <f t="shared" si="7"/>
        <v>54.460109081421329</v>
      </c>
      <c r="H128" t="s">
        <v>33</v>
      </c>
      <c r="J128">
        <v>321</v>
      </c>
      <c r="K128" t="s">
        <v>3</v>
      </c>
      <c r="L128" t="s">
        <v>29</v>
      </c>
      <c r="M128">
        <v>1043.45569</v>
      </c>
      <c r="N128">
        <v>1.916E-2</v>
      </c>
      <c r="O128">
        <v>19.16</v>
      </c>
      <c r="P128">
        <v>54.460109080000002</v>
      </c>
      <c r="Q128" t="s">
        <v>33</v>
      </c>
    </row>
    <row r="129" spans="1:33" x14ac:dyDescent="0.2">
      <c r="A129">
        <v>322</v>
      </c>
      <c r="B129" t="s">
        <v>3</v>
      </c>
      <c r="C129" t="s">
        <v>29</v>
      </c>
      <c r="D129">
        <v>1115.3006600000001</v>
      </c>
      <c r="E129">
        <v>1.8589999999999662E-2</v>
      </c>
      <c r="F129">
        <f t="shared" si="6"/>
        <v>18.589999999999662</v>
      </c>
      <c r="G129">
        <f t="shared" si="7"/>
        <v>59.994656266811205</v>
      </c>
      <c r="H129" t="s">
        <v>33</v>
      </c>
      <c r="J129">
        <v>322</v>
      </c>
      <c r="K129" t="s">
        <v>3</v>
      </c>
      <c r="L129" t="s">
        <v>29</v>
      </c>
      <c r="M129">
        <v>1115.3006600000001</v>
      </c>
      <c r="N129">
        <v>1.8589999999999999E-2</v>
      </c>
      <c r="O129">
        <v>18.59</v>
      </c>
      <c r="P129">
        <v>59.99465627</v>
      </c>
      <c r="Q129" t="s">
        <v>33</v>
      </c>
      <c r="AF129" t="s">
        <v>60</v>
      </c>
    </row>
    <row r="130" spans="1:33" x14ac:dyDescent="0.2">
      <c r="A130">
        <v>328</v>
      </c>
      <c r="B130" t="s">
        <v>2</v>
      </c>
      <c r="C130" t="s">
        <v>35</v>
      </c>
      <c r="D130">
        <v>887.59600999999998</v>
      </c>
      <c r="E130">
        <v>1.9589999999999108E-2</v>
      </c>
      <c r="F130">
        <f t="shared" si="6"/>
        <v>19.589999999999108</v>
      </c>
      <c r="G130">
        <f t="shared" si="7"/>
        <v>45.308627360900481</v>
      </c>
      <c r="H130" t="s">
        <v>33</v>
      </c>
      <c r="J130">
        <v>328</v>
      </c>
      <c r="K130" t="s">
        <v>2</v>
      </c>
      <c r="L130" t="s">
        <v>35</v>
      </c>
      <c r="M130">
        <v>887.59600999999998</v>
      </c>
      <c r="N130">
        <v>1.959E-2</v>
      </c>
      <c r="O130">
        <v>19.59</v>
      </c>
      <c r="P130">
        <v>45.308627360000003</v>
      </c>
      <c r="Q130" t="s">
        <v>33</v>
      </c>
    </row>
    <row r="131" spans="1:33" x14ac:dyDescent="0.2">
      <c r="A131">
        <v>329</v>
      </c>
      <c r="B131" t="s">
        <v>2</v>
      </c>
      <c r="C131" t="s">
        <v>35</v>
      </c>
      <c r="D131">
        <v>537.66485999999998</v>
      </c>
      <c r="E131">
        <v>2.5330000000000297E-2</v>
      </c>
      <c r="F131">
        <f t="shared" si="6"/>
        <v>25.330000000000297</v>
      </c>
      <c r="G131">
        <f t="shared" si="7"/>
        <v>21.226405842873813</v>
      </c>
      <c r="H131" t="s">
        <v>27</v>
      </c>
      <c r="J131">
        <v>329</v>
      </c>
      <c r="K131" t="s">
        <v>2</v>
      </c>
      <c r="L131" t="s">
        <v>35</v>
      </c>
      <c r="M131">
        <v>537.66485999999998</v>
      </c>
      <c r="N131">
        <v>2.5329999999999998E-2</v>
      </c>
      <c r="O131">
        <v>25.33</v>
      </c>
      <c r="P131">
        <v>21.226405840000002</v>
      </c>
      <c r="Q131" t="s">
        <v>27</v>
      </c>
    </row>
    <row r="132" spans="1:33" x14ac:dyDescent="0.2">
      <c r="A132">
        <v>330</v>
      </c>
      <c r="B132" t="s">
        <v>2</v>
      </c>
      <c r="C132" t="s">
        <v>29</v>
      </c>
      <c r="D132">
        <v>0</v>
      </c>
      <c r="E132">
        <v>2.2240000000000038E-2</v>
      </c>
      <c r="F132">
        <f t="shared" ref="F132:F163" si="8">E132*1000</f>
        <v>22.240000000000038</v>
      </c>
      <c r="G132">
        <f t="shared" ref="G132:G163" si="9">D132/F132</f>
        <v>0</v>
      </c>
      <c r="H132" t="s">
        <v>27</v>
      </c>
      <c r="J132">
        <v>330</v>
      </c>
      <c r="K132" t="s">
        <v>2</v>
      </c>
      <c r="L132" t="s">
        <v>29</v>
      </c>
      <c r="M132">
        <v>0</v>
      </c>
      <c r="N132">
        <v>2.2239999999999999E-2</v>
      </c>
      <c r="O132">
        <v>22.24</v>
      </c>
      <c r="P132">
        <v>0</v>
      </c>
      <c r="Q132" t="s">
        <v>27</v>
      </c>
    </row>
    <row r="133" spans="1:33" x14ac:dyDescent="0.2">
      <c r="A133">
        <v>333</v>
      </c>
      <c r="B133" t="s">
        <v>3</v>
      </c>
      <c r="C133" t="s">
        <v>29</v>
      </c>
      <c r="D133">
        <v>630.98321999999996</v>
      </c>
      <c r="E133">
        <v>2.3499999999998522E-2</v>
      </c>
      <c r="F133">
        <f t="shared" si="8"/>
        <v>23.499999999998522</v>
      </c>
      <c r="G133">
        <f t="shared" si="9"/>
        <v>26.850349787235729</v>
      </c>
      <c r="H133" t="s">
        <v>33</v>
      </c>
      <c r="J133">
        <v>333</v>
      </c>
      <c r="K133" t="s">
        <v>3</v>
      </c>
      <c r="L133" t="s">
        <v>29</v>
      </c>
      <c r="M133">
        <v>630.98321999999996</v>
      </c>
      <c r="N133">
        <v>2.35E-2</v>
      </c>
      <c r="O133">
        <v>23.5</v>
      </c>
      <c r="P133">
        <v>26.850349789999999</v>
      </c>
      <c r="Q133" t="s">
        <v>33</v>
      </c>
    </row>
    <row r="134" spans="1:33" x14ac:dyDescent="0.2">
      <c r="A134">
        <v>338</v>
      </c>
      <c r="B134" t="s">
        <v>3</v>
      </c>
      <c r="C134" t="s">
        <v>25</v>
      </c>
      <c r="D134">
        <v>0</v>
      </c>
      <c r="E134">
        <v>1.9149999999999778E-2</v>
      </c>
      <c r="F134">
        <f t="shared" si="8"/>
        <v>19.149999999999778</v>
      </c>
      <c r="G134">
        <f t="shared" si="9"/>
        <v>0</v>
      </c>
      <c r="H134" t="s">
        <v>33</v>
      </c>
      <c r="J134">
        <v>338</v>
      </c>
      <c r="K134" t="s">
        <v>3</v>
      </c>
      <c r="L134" t="s">
        <v>25</v>
      </c>
      <c r="M134">
        <v>0</v>
      </c>
      <c r="N134">
        <v>1.915E-2</v>
      </c>
      <c r="O134">
        <v>19.149999999999999</v>
      </c>
      <c r="P134">
        <v>0</v>
      </c>
      <c r="Q134" t="s">
        <v>33</v>
      </c>
    </row>
    <row r="135" spans="1:33" x14ac:dyDescent="0.2">
      <c r="A135">
        <v>339</v>
      </c>
      <c r="B135" t="s">
        <v>2</v>
      </c>
      <c r="C135" t="s">
        <v>35</v>
      </c>
      <c r="D135">
        <v>0</v>
      </c>
      <c r="E135">
        <v>2.3200000000000998E-2</v>
      </c>
      <c r="F135">
        <f t="shared" si="8"/>
        <v>23.200000000000998</v>
      </c>
      <c r="G135">
        <f t="shared" si="9"/>
        <v>0</v>
      </c>
      <c r="H135" t="s">
        <v>33</v>
      </c>
      <c r="J135">
        <v>339</v>
      </c>
      <c r="K135" t="s">
        <v>2</v>
      </c>
      <c r="L135" t="s">
        <v>35</v>
      </c>
      <c r="M135">
        <v>0</v>
      </c>
      <c r="N135">
        <v>2.3199999999999998E-2</v>
      </c>
      <c r="O135">
        <v>23.2</v>
      </c>
      <c r="P135">
        <v>0</v>
      </c>
      <c r="Q135" t="s">
        <v>33</v>
      </c>
      <c r="AF135" t="s">
        <v>90</v>
      </c>
    </row>
    <row r="136" spans="1:33" x14ac:dyDescent="0.2">
      <c r="A136">
        <v>343</v>
      </c>
      <c r="B136" t="s">
        <v>3</v>
      </c>
      <c r="C136" t="s">
        <v>35</v>
      </c>
      <c r="D136">
        <v>1145.66101</v>
      </c>
      <c r="E136">
        <v>2.4779999999999802E-2</v>
      </c>
      <c r="F136">
        <f t="shared" si="8"/>
        <v>24.779999999999802</v>
      </c>
      <c r="G136">
        <f t="shared" si="9"/>
        <v>46.233293381759857</v>
      </c>
      <c r="H136" t="s">
        <v>27</v>
      </c>
      <c r="J136">
        <v>343</v>
      </c>
      <c r="K136" t="s">
        <v>3</v>
      </c>
      <c r="L136" t="s">
        <v>35</v>
      </c>
      <c r="M136">
        <v>1145.66101</v>
      </c>
      <c r="N136">
        <v>2.478E-2</v>
      </c>
      <c r="O136">
        <v>24.78</v>
      </c>
      <c r="P136">
        <v>46.233293379999999</v>
      </c>
      <c r="Q136" t="s">
        <v>27</v>
      </c>
    </row>
    <row r="137" spans="1:33" x14ac:dyDescent="0.2">
      <c r="A137">
        <v>347</v>
      </c>
      <c r="B137" t="s">
        <v>3</v>
      </c>
      <c r="C137" t="s">
        <v>29</v>
      </c>
      <c r="D137">
        <v>0</v>
      </c>
      <c r="E137">
        <v>2.3430000000001172E-2</v>
      </c>
      <c r="F137">
        <f t="shared" si="8"/>
        <v>23.430000000001172</v>
      </c>
      <c r="G137">
        <f t="shared" si="9"/>
        <v>0</v>
      </c>
      <c r="H137" t="s">
        <v>27</v>
      </c>
      <c r="J137">
        <v>347</v>
      </c>
      <c r="K137" t="s">
        <v>3</v>
      </c>
      <c r="L137" t="s">
        <v>29</v>
      </c>
      <c r="M137">
        <v>0</v>
      </c>
      <c r="N137">
        <v>2.3429999999999999E-2</v>
      </c>
      <c r="O137">
        <v>23.43</v>
      </c>
      <c r="P137">
        <v>0</v>
      </c>
      <c r="Q137" t="s">
        <v>27</v>
      </c>
      <c r="AF137" t="s">
        <v>91</v>
      </c>
      <c r="AG137" t="s">
        <v>91</v>
      </c>
    </row>
    <row r="138" spans="1:33" x14ac:dyDescent="0.2">
      <c r="A138">
        <v>349</v>
      </c>
      <c r="B138" t="s">
        <v>3</v>
      </c>
      <c r="C138" t="s">
        <v>35</v>
      </c>
      <c r="D138">
        <v>987.79332999999997</v>
      </c>
      <c r="E138">
        <v>1.9339999999999691E-2</v>
      </c>
      <c r="F138">
        <f t="shared" si="8"/>
        <v>19.339999999999691</v>
      </c>
      <c r="G138">
        <f t="shared" si="9"/>
        <v>51.075146328852938</v>
      </c>
      <c r="H138" t="s">
        <v>33</v>
      </c>
      <c r="J138">
        <v>349</v>
      </c>
      <c r="K138" t="s">
        <v>3</v>
      </c>
      <c r="L138" t="s">
        <v>35</v>
      </c>
      <c r="M138">
        <v>987.79332999999997</v>
      </c>
      <c r="N138">
        <v>1.934E-2</v>
      </c>
      <c r="O138">
        <v>19.34</v>
      </c>
      <c r="P138">
        <v>51.075146330000003</v>
      </c>
      <c r="Q138" t="s">
        <v>33</v>
      </c>
      <c r="AF138" t="s">
        <v>69</v>
      </c>
      <c r="AG138">
        <v>13.695416</v>
      </c>
    </row>
    <row r="139" spans="1:33" x14ac:dyDescent="0.2">
      <c r="A139">
        <v>356</v>
      </c>
      <c r="B139" t="s">
        <v>3</v>
      </c>
      <c r="C139" t="s">
        <v>35</v>
      </c>
      <c r="D139">
        <v>0</v>
      </c>
      <c r="E139">
        <v>2.0749999999999602E-2</v>
      </c>
      <c r="F139">
        <f t="shared" si="8"/>
        <v>20.749999999999602</v>
      </c>
      <c r="G139">
        <f t="shared" si="9"/>
        <v>0</v>
      </c>
      <c r="H139" t="s">
        <v>27</v>
      </c>
      <c r="J139">
        <v>356</v>
      </c>
      <c r="K139" t="s">
        <v>3</v>
      </c>
      <c r="L139" t="s">
        <v>35</v>
      </c>
      <c r="M139">
        <v>0</v>
      </c>
      <c r="N139">
        <v>2.0750000000000001E-2</v>
      </c>
      <c r="O139">
        <v>20.75</v>
      </c>
      <c r="P139">
        <v>0</v>
      </c>
      <c r="Q139" t="s">
        <v>27</v>
      </c>
      <c r="AF139" t="s">
        <v>92</v>
      </c>
      <c r="AG139">
        <v>19.113215</v>
      </c>
    </row>
    <row r="140" spans="1:33" x14ac:dyDescent="0.2">
      <c r="A140">
        <v>357</v>
      </c>
      <c r="B140" t="s">
        <v>3</v>
      </c>
      <c r="C140" t="s">
        <v>25</v>
      </c>
      <c r="D140">
        <v>864.43584999999996</v>
      </c>
      <c r="E140">
        <v>1.8670000000000186E-2</v>
      </c>
      <c r="F140">
        <f t="shared" si="8"/>
        <v>18.670000000000186</v>
      </c>
      <c r="G140">
        <f t="shared" si="9"/>
        <v>46.300795393679238</v>
      </c>
      <c r="H140" t="s">
        <v>27</v>
      </c>
      <c r="J140">
        <v>357</v>
      </c>
      <c r="K140" t="s">
        <v>3</v>
      </c>
      <c r="L140" t="s">
        <v>25</v>
      </c>
      <c r="M140">
        <v>864.43584999999996</v>
      </c>
      <c r="N140">
        <v>1.8669999999999999E-2</v>
      </c>
      <c r="O140">
        <v>18.670000000000002</v>
      </c>
      <c r="P140">
        <v>46.300795389999998</v>
      </c>
      <c r="Q140" t="s">
        <v>27</v>
      </c>
      <c r="AF140" t="s">
        <v>93</v>
      </c>
      <c r="AG140">
        <v>3.9853808000000002</v>
      </c>
    </row>
    <row r="141" spans="1:33" x14ac:dyDescent="0.2">
      <c r="A141">
        <v>358</v>
      </c>
      <c r="B141" t="s">
        <v>3</v>
      </c>
      <c r="C141" t="s">
        <v>35</v>
      </c>
      <c r="D141">
        <v>0</v>
      </c>
      <c r="E141">
        <v>2.1030000000001436E-2</v>
      </c>
      <c r="F141">
        <f t="shared" si="8"/>
        <v>21.030000000001436</v>
      </c>
      <c r="G141">
        <f t="shared" si="9"/>
        <v>0</v>
      </c>
      <c r="H141" t="s">
        <v>33</v>
      </c>
      <c r="J141">
        <v>358</v>
      </c>
      <c r="K141" t="s">
        <v>3</v>
      </c>
      <c r="L141" t="s">
        <v>35</v>
      </c>
      <c r="M141">
        <v>0</v>
      </c>
      <c r="N141">
        <v>2.103E-2</v>
      </c>
      <c r="O141">
        <v>21.03</v>
      </c>
      <c r="P141">
        <v>0</v>
      </c>
      <c r="Q141" t="s">
        <v>33</v>
      </c>
      <c r="AF141" t="s">
        <v>94</v>
      </c>
      <c r="AG141">
        <v>21.96059</v>
      </c>
    </row>
    <row r="142" spans="1:33" x14ac:dyDescent="0.2">
      <c r="A142">
        <v>366</v>
      </c>
      <c r="B142" t="s">
        <v>3</v>
      </c>
      <c r="C142" t="s">
        <v>35</v>
      </c>
      <c r="D142">
        <v>608.54625999999996</v>
      </c>
      <c r="E142">
        <v>2.7169999999999916E-2</v>
      </c>
      <c r="F142">
        <f t="shared" si="8"/>
        <v>27.169999999999916</v>
      </c>
      <c r="G142">
        <f t="shared" si="9"/>
        <v>22.397727640780339</v>
      </c>
      <c r="H142" t="s">
        <v>27</v>
      </c>
      <c r="J142">
        <v>366</v>
      </c>
      <c r="K142" t="s">
        <v>3</v>
      </c>
      <c r="L142" t="s">
        <v>35</v>
      </c>
      <c r="M142">
        <v>608.54625999999996</v>
      </c>
      <c r="N142">
        <v>2.717E-2</v>
      </c>
      <c r="O142">
        <v>27.17</v>
      </c>
      <c r="P142">
        <v>22.397727639999999</v>
      </c>
      <c r="Q142" t="s">
        <v>27</v>
      </c>
      <c r="AF142" t="s">
        <v>95</v>
      </c>
      <c r="AG142">
        <v>5.4302418000000001</v>
      </c>
    </row>
    <row r="143" spans="1:33" x14ac:dyDescent="0.2">
      <c r="A143">
        <v>372</v>
      </c>
      <c r="B143" t="s">
        <v>3</v>
      </c>
      <c r="C143" t="s">
        <v>25</v>
      </c>
      <c r="D143">
        <v>494.29083000000003</v>
      </c>
      <c r="E143">
        <v>2.117999999999931E-2</v>
      </c>
      <c r="F143">
        <f t="shared" si="8"/>
        <v>21.17999999999931</v>
      </c>
      <c r="G143">
        <f t="shared" si="9"/>
        <v>23.337621813031923</v>
      </c>
      <c r="H143" t="s">
        <v>27</v>
      </c>
      <c r="J143">
        <v>372</v>
      </c>
      <c r="K143" t="s">
        <v>3</v>
      </c>
      <c r="L143" t="s">
        <v>25</v>
      </c>
      <c r="M143">
        <v>494.29083000000003</v>
      </c>
      <c r="N143">
        <v>2.1180000000000001E-2</v>
      </c>
      <c r="O143">
        <v>21.18</v>
      </c>
      <c r="P143">
        <v>23.337621810000002</v>
      </c>
      <c r="Q143" t="s">
        <v>27</v>
      </c>
      <c r="AF143" t="s">
        <v>96</v>
      </c>
      <c r="AG143">
        <v>23</v>
      </c>
    </row>
    <row r="144" spans="1:33" x14ac:dyDescent="0.2">
      <c r="A144">
        <v>374</v>
      </c>
      <c r="B144" t="s">
        <v>3</v>
      </c>
      <c r="C144" t="s">
        <v>25</v>
      </c>
      <c r="D144">
        <v>0</v>
      </c>
      <c r="E144">
        <v>2.7499999999999858E-2</v>
      </c>
      <c r="F144">
        <f t="shared" si="8"/>
        <v>27.499999999999858</v>
      </c>
      <c r="G144">
        <f t="shared" si="9"/>
        <v>0</v>
      </c>
      <c r="H144" t="s">
        <v>33</v>
      </c>
      <c r="J144">
        <v>374</v>
      </c>
      <c r="K144" t="s">
        <v>3</v>
      </c>
      <c r="L144" t="s">
        <v>25</v>
      </c>
      <c r="M144">
        <v>0</v>
      </c>
      <c r="N144">
        <v>2.75E-2</v>
      </c>
      <c r="O144">
        <v>27.5</v>
      </c>
      <c r="P144">
        <v>0</v>
      </c>
      <c r="Q144" t="s">
        <v>33</v>
      </c>
    </row>
    <row r="145" spans="1:33" x14ac:dyDescent="0.2">
      <c r="A145">
        <v>377</v>
      </c>
      <c r="B145" t="s">
        <v>3</v>
      </c>
      <c r="C145" t="s">
        <v>35</v>
      </c>
      <c r="D145">
        <v>0</v>
      </c>
      <c r="E145">
        <v>2.2629999999999484E-2</v>
      </c>
      <c r="F145">
        <f t="shared" si="8"/>
        <v>22.629999999999484</v>
      </c>
      <c r="G145">
        <f t="shared" si="9"/>
        <v>0</v>
      </c>
      <c r="H145" t="s">
        <v>33</v>
      </c>
      <c r="J145">
        <v>377</v>
      </c>
      <c r="K145" t="s">
        <v>3</v>
      </c>
      <c r="L145" t="s">
        <v>35</v>
      </c>
      <c r="M145">
        <v>0</v>
      </c>
      <c r="N145">
        <v>2.2630000000000001E-2</v>
      </c>
      <c r="O145">
        <v>22.63</v>
      </c>
      <c r="P145">
        <v>0</v>
      </c>
      <c r="Q145" t="s">
        <v>33</v>
      </c>
    </row>
    <row r="146" spans="1:33" x14ac:dyDescent="0.2">
      <c r="A146">
        <v>378</v>
      </c>
      <c r="B146" t="s">
        <v>3</v>
      </c>
      <c r="C146" t="s">
        <v>25</v>
      </c>
      <c r="D146">
        <v>0</v>
      </c>
      <c r="E146">
        <v>1.9120000000000914E-2</v>
      </c>
      <c r="F146">
        <f t="shared" si="8"/>
        <v>19.120000000000914</v>
      </c>
      <c r="G146">
        <f t="shared" si="9"/>
        <v>0</v>
      </c>
      <c r="H146" t="s">
        <v>27</v>
      </c>
      <c r="J146">
        <v>378</v>
      </c>
      <c r="K146" t="s">
        <v>3</v>
      </c>
      <c r="L146" t="s">
        <v>25</v>
      </c>
      <c r="M146">
        <v>0</v>
      </c>
      <c r="N146">
        <v>1.9120000000000002E-2</v>
      </c>
      <c r="O146">
        <v>19.12</v>
      </c>
      <c r="P146">
        <v>0</v>
      </c>
      <c r="Q146" t="s">
        <v>27</v>
      </c>
    </row>
    <row r="147" spans="1:33" x14ac:dyDescent="0.2">
      <c r="A147">
        <v>379</v>
      </c>
      <c r="B147" t="s">
        <v>3</v>
      </c>
      <c r="C147" t="s">
        <v>29</v>
      </c>
      <c r="D147">
        <v>1384.43274</v>
      </c>
      <c r="E147">
        <v>2.5399999999999423E-2</v>
      </c>
      <c r="F147">
        <f t="shared" si="8"/>
        <v>25.399999999999423</v>
      </c>
      <c r="G147">
        <f t="shared" si="9"/>
        <v>54.505225984253208</v>
      </c>
      <c r="H147" t="s">
        <v>27</v>
      </c>
      <c r="J147">
        <v>379</v>
      </c>
      <c r="K147" t="s">
        <v>3</v>
      </c>
      <c r="L147" t="s">
        <v>29</v>
      </c>
      <c r="M147">
        <v>1384.43274</v>
      </c>
      <c r="N147">
        <v>2.5399999999999999E-2</v>
      </c>
      <c r="O147">
        <v>25.4</v>
      </c>
      <c r="P147">
        <v>54.505225979999999</v>
      </c>
      <c r="Q147" t="s">
        <v>27</v>
      </c>
    </row>
    <row r="148" spans="1:33" x14ac:dyDescent="0.2">
      <c r="A148">
        <v>380</v>
      </c>
      <c r="B148" t="s">
        <v>3</v>
      </c>
      <c r="C148" t="s">
        <v>29</v>
      </c>
      <c r="D148">
        <v>1146.23901</v>
      </c>
      <c r="E148">
        <v>1.6990000000001615E-2</v>
      </c>
      <c r="F148">
        <f t="shared" si="8"/>
        <v>16.990000000001615</v>
      </c>
      <c r="G148">
        <f t="shared" si="9"/>
        <v>67.465509711588638</v>
      </c>
      <c r="H148" t="s">
        <v>33</v>
      </c>
      <c r="J148">
        <v>380</v>
      </c>
      <c r="K148" t="s">
        <v>3</v>
      </c>
      <c r="L148" t="s">
        <v>29</v>
      </c>
      <c r="M148">
        <v>1146.23901</v>
      </c>
      <c r="N148">
        <v>1.6990000000000002E-2</v>
      </c>
      <c r="O148">
        <v>16.989999999999998</v>
      </c>
      <c r="P148">
        <v>67.465509710000006</v>
      </c>
      <c r="Q148" t="s">
        <v>33</v>
      </c>
      <c r="AF148" t="s">
        <v>256</v>
      </c>
    </row>
    <row r="149" spans="1:33" x14ac:dyDescent="0.2">
      <c r="A149">
        <v>381</v>
      </c>
      <c r="B149" t="s">
        <v>2</v>
      </c>
      <c r="C149" t="s">
        <v>35</v>
      </c>
      <c r="D149">
        <v>1183.3278800000001</v>
      </c>
      <c r="E149">
        <v>1.8340000000000245E-2</v>
      </c>
      <c r="F149">
        <f t="shared" si="8"/>
        <v>18.340000000000245</v>
      </c>
      <c r="G149">
        <f t="shared" si="9"/>
        <v>64.521694656487696</v>
      </c>
      <c r="H149" t="s">
        <v>33</v>
      </c>
      <c r="J149">
        <v>381</v>
      </c>
      <c r="K149" t="s">
        <v>2</v>
      </c>
      <c r="L149" t="s">
        <v>35</v>
      </c>
      <c r="M149">
        <v>1183.3278800000001</v>
      </c>
      <c r="N149">
        <v>1.8339999999999999E-2</v>
      </c>
      <c r="O149">
        <v>18.34</v>
      </c>
      <c r="P149">
        <v>64.521694659999994</v>
      </c>
      <c r="Q149" t="s">
        <v>33</v>
      </c>
    </row>
    <row r="150" spans="1:33" x14ac:dyDescent="0.2">
      <c r="A150">
        <v>384</v>
      </c>
      <c r="B150" t="s">
        <v>2</v>
      </c>
      <c r="C150" t="s">
        <v>35</v>
      </c>
      <c r="D150">
        <v>1282.6674800000001</v>
      </c>
      <c r="E150">
        <v>2.4949999999998695E-2</v>
      </c>
      <c r="F150">
        <f t="shared" si="8"/>
        <v>24.949999999998695</v>
      </c>
      <c r="G150">
        <f t="shared" si="9"/>
        <v>51.409518236475634</v>
      </c>
      <c r="H150" t="s">
        <v>27</v>
      </c>
      <c r="J150">
        <v>384</v>
      </c>
      <c r="K150" t="s">
        <v>2</v>
      </c>
      <c r="L150" t="s">
        <v>35</v>
      </c>
      <c r="M150">
        <v>1282.6674800000001</v>
      </c>
      <c r="N150">
        <v>2.495E-2</v>
      </c>
      <c r="O150">
        <v>24.95</v>
      </c>
      <c r="P150">
        <v>51.409518239999997</v>
      </c>
      <c r="Q150" t="s">
        <v>27</v>
      </c>
    </row>
    <row r="151" spans="1:33" x14ac:dyDescent="0.2">
      <c r="A151">
        <v>387</v>
      </c>
      <c r="B151" t="s">
        <v>2</v>
      </c>
      <c r="C151" t="s">
        <v>29</v>
      </c>
      <c r="D151">
        <v>1420.2446299999999</v>
      </c>
      <c r="E151">
        <v>2.0850000000001145E-2</v>
      </c>
      <c r="F151">
        <f t="shared" si="8"/>
        <v>20.850000000001145</v>
      </c>
      <c r="G151">
        <f t="shared" si="9"/>
        <v>68.117248441243262</v>
      </c>
      <c r="H151" t="s">
        <v>27</v>
      </c>
      <c r="J151">
        <v>387</v>
      </c>
      <c r="K151" t="s">
        <v>2</v>
      </c>
      <c r="L151" t="s">
        <v>29</v>
      </c>
      <c r="M151">
        <v>1420.2446299999999</v>
      </c>
      <c r="N151">
        <v>2.085E-2</v>
      </c>
      <c r="O151">
        <v>20.85</v>
      </c>
      <c r="P151">
        <v>68.117248439999997</v>
      </c>
      <c r="Q151" t="s">
        <v>27</v>
      </c>
      <c r="AF151" t="s">
        <v>60</v>
      </c>
    </row>
    <row r="152" spans="1:33" x14ac:dyDescent="0.2">
      <c r="A152">
        <v>388</v>
      </c>
      <c r="B152" t="s">
        <v>2</v>
      </c>
      <c r="C152" t="s">
        <v>29</v>
      </c>
      <c r="D152">
        <v>640.52362000000005</v>
      </c>
      <c r="E152">
        <v>1.8950000000000244E-2</v>
      </c>
      <c r="F152">
        <f t="shared" si="8"/>
        <v>18.950000000000244</v>
      </c>
      <c r="G152">
        <f t="shared" si="9"/>
        <v>33.800718733508802</v>
      </c>
      <c r="H152" t="s">
        <v>33</v>
      </c>
      <c r="J152">
        <v>388</v>
      </c>
      <c r="K152" t="s">
        <v>2</v>
      </c>
      <c r="L152" t="s">
        <v>29</v>
      </c>
      <c r="M152">
        <v>640.52362000000005</v>
      </c>
      <c r="N152">
        <v>1.8950000000000002E-2</v>
      </c>
      <c r="O152">
        <v>18.95</v>
      </c>
      <c r="P152">
        <v>33.80071873</v>
      </c>
      <c r="Q152" t="s">
        <v>33</v>
      </c>
    </row>
    <row r="153" spans="1:33" x14ac:dyDescent="0.2">
      <c r="A153">
        <v>391</v>
      </c>
      <c r="B153" t="s">
        <v>2</v>
      </c>
      <c r="C153" t="s">
        <v>35</v>
      </c>
      <c r="D153">
        <v>0</v>
      </c>
      <c r="E153">
        <v>2.178999999999931E-2</v>
      </c>
      <c r="F153">
        <f t="shared" si="8"/>
        <v>21.78999999999931</v>
      </c>
      <c r="G153">
        <f t="shared" si="9"/>
        <v>0</v>
      </c>
      <c r="H153" t="s">
        <v>33</v>
      </c>
      <c r="J153">
        <v>391</v>
      </c>
      <c r="K153" t="s">
        <v>2</v>
      </c>
      <c r="L153" t="s">
        <v>35</v>
      </c>
      <c r="M153">
        <v>0</v>
      </c>
      <c r="N153">
        <v>2.179E-2</v>
      </c>
      <c r="O153">
        <v>21.79</v>
      </c>
      <c r="P153">
        <v>0</v>
      </c>
      <c r="Q153" t="s">
        <v>33</v>
      </c>
    </row>
    <row r="154" spans="1:33" x14ac:dyDescent="0.2">
      <c r="A154">
        <v>392</v>
      </c>
      <c r="B154" t="s">
        <v>3</v>
      </c>
      <c r="C154" t="s">
        <v>29</v>
      </c>
      <c r="D154">
        <v>1269.0692100000001</v>
      </c>
      <c r="E154">
        <v>2.4430000000000618E-2</v>
      </c>
      <c r="F154">
        <f t="shared" si="8"/>
        <v>24.430000000000618</v>
      </c>
      <c r="G154">
        <f t="shared" si="9"/>
        <v>51.947163733113712</v>
      </c>
      <c r="H154" t="s">
        <v>27</v>
      </c>
      <c r="J154">
        <v>392</v>
      </c>
      <c r="K154" t="s">
        <v>3</v>
      </c>
      <c r="L154" t="s">
        <v>29</v>
      </c>
      <c r="M154">
        <v>1269.0692100000001</v>
      </c>
      <c r="N154">
        <v>2.443E-2</v>
      </c>
      <c r="O154">
        <v>24.43</v>
      </c>
      <c r="P154">
        <v>51.94716373</v>
      </c>
      <c r="Q154" t="s">
        <v>27</v>
      </c>
    </row>
    <row r="155" spans="1:33" x14ac:dyDescent="0.2">
      <c r="A155">
        <v>394</v>
      </c>
      <c r="B155" t="s">
        <v>2</v>
      </c>
      <c r="C155" t="s">
        <v>25</v>
      </c>
      <c r="D155">
        <v>1091.39417</v>
      </c>
      <c r="E155">
        <v>1.9140000000000157E-2</v>
      </c>
      <c r="F155">
        <f t="shared" si="8"/>
        <v>19.140000000000157</v>
      </c>
      <c r="G155">
        <f t="shared" si="9"/>
        <v>57.021638975966098</v>
      </c>
      <c r="H155" t="s">
        <v>33</v>
      </c>
      <c r="J155">
        <v>394</v>
      </c>
      <c r="K155" t="s">
        <v>2</v>
      </c>
      <c r="L155" t="s">
        <v>25</v>
      </c>
      <c r="M155">
        <v>1091.39417</v>
      </c>
      <c r="N155">
        <v>1.9140000000000001E-2</v>
      </c>
      <c r="O155">
        <v>19.14</v>
      </c>
      <c r="P155">
        <v>57.021638979999999</v>
      </c>
      <c r="Q155" t="s">
        <v>33</v>
      </c>
    </row>
    <row r="156" spans="1:33" x14ac:dyDescent="0.2">
      <c r="A156">
        <v>401</v>
      </c>
      <c r="B156" t="s">
        <v>3</v>
      </c>
      <c r="C156" t="s">
        <v>25</v>
      </c>
      <c r="D156">
        <v>0</v>
      </c>
      <c r="E156">
        <v>2.2660000000000124E-2</v>
      </c>
      <c r="F156">
        <f t="shared" si="8"/>
        <v>22.660000000000124</v>
      </c>
      <c r="G156">
        <f t="shared" si="9"/>
        <v>0</v>
      </c>
      <c r="H156" t="s">
        <v>33</v>
      </c>
      <c r="J156">
        <v>401</v>
      </c>
      <c r="K156" t="s">
        <v>3</v>
      </c>
      <c r="L156" t="s">
        <v>25</v>
      </c>
      <c r="M156">
        <v>0</v>
      </c>
      <c r="N156">
        <v>2.266E-2</v>
      </c>
      <c r="O156">
        <v>22.66</v>
      </c>
      <c r="P156">
        <v>0</v>
      </c>
      <c r="Q156" t="s">
        <v>33</v>
      </c>
    </row>
    <row r="157" spans="1:33" x14ac:dyDescent="0.2">
      <c r="A157">
        <v>403</v>
      </c>
      <c r="B157" t="s">
        <v>2</v>
      </c>
      <c r="C157" t="s">
        <v>35</v>
      </c>
      <c r="D157">
        <v>0</v>
      </c>
      <c r="E157">
        <v>1.8980000000000885E-2</v>
      </c>
      <c r="F157">
        <f t="shared" si="8"/>
        <v>18.980000000000885</v>
      </c>
      <c r="G157">
        <f t="shared" si="9"/>
        <v>0</v>
      </c>
      <c r="H157" t="s">
        <v>27</v>
      </c>
      <c r="J157">
        <v>403</v>
      </c>
      <c r="K157" t="s">
        <v>2</v>
      </c>
      <c r="L157" t="s">
        <v>35</v>
      </c>
      <c r="M157">
        <v>0</v>
      </c>
      <c r="N157">
        <v>1.898E-2</v>
      </c>
      <c r="O157">
        <v>18.98</v>
      </c>
      <c r="P157">
        <v>0</v>
      </c>
      <c r="Q157" t="s">
        <v>27</v>
      </c>
      <c r="AF157" t="s">
        <v>90</v>
      </c>
    </row>
    <row r="158" spans="1:33" x14ac:dyDescent="0.2">
      <c r="A158">
        <v>405</v>
      </c>
      <c r="B158" t="s">
        <v>3</v>
      </c>
      <c r="C158" t="s">
        <v>29</v>
      </c>
      <c r="D158">
        <v>0</v>
      </c>
      <c r="E158">
        <v>2.6600000000000179E-2</v>
      </c>
      <c r="F158">
        <f t="shared" si="8"/>
        <v>26.600000000000179</v>
      </c>
      <c r="G158">
        <f t="shared" si="9"/>
        <v>0</v>
      </c>
      <c r="H158" t="s">
        <v>27</v>
      </c>
      <c r="J158">
        <v>405</v>
      </c>
      <c r="K158" t="s">
        <v>3</v>
      </c>
      <c r="L158" t="s">
        <v>29</v>
      </c>
      <c r="M158">
        <v>0</v>
      </c>
      <c r="N158">
        <v>2.6599999999999999E-2</v>
      </c>
      <c r="O158">
        <v>26.6</v>
      </c>
      <c r="P158">
        <v>0</v>
      </c>
      <c r="Q158" t="s">
        <v>27</v>
      </c>
    </row>
    <row r="159" spans="1:33" x14ac:dyDescent="0.2">
      <c r="A159">
        <v>409</v>
      </c>
      <c r="B159" t="s">
        <v>2</v>
      </c>
      <c r="C159" t="s">
        <v>25</v>
      </c>
      <c r="D159">
        <v>890.52020000000005</v>
      </c>
      <c r="E159">
        <v>2.2839999999998639E-2</v>
      </c>
      <c r="F159">
        <f t="shared" si="8"/>
        <v>22.839999999998639</v>
      </c>
      <c r="G159">
        <f t="shared" si="9"/>
        <v>38.989500875659068</v>
      </c>
      <c r="H159" t="s">
        <v>33</v>
      </c>
      <c r="J159">
        <v>409</v>
      </c>
      <c r="K159" t="s">
        <v>2</v>
      </c>
      <c r="L159" t="s">
        <v>25</v>
      </c>
      <c r="M159">
        <v>890.52020000000005</v>
      </c>
      <c r="N159">
        <v>2.2839999999999999E-2</v>
      </c>
      <c r="O159">
        <v>22.84</v>
      </c>
      <c r="P159">
        <v>38.989500880000001</v>
      </c>
      <c r="Q159" t="s">
        <v>33</v>
      </c>
      <c r="AF159" t="s">
        <v>91</v>
      </c>
      <c r="AG159" t="s">
        <v>91</v>
      </c>
    </row>
    <row r="160" spans="1:33" x14ac:dyDescent="0.2">
      <c r="A160">
        <v>413</v>
      </c>
      <c r="B160" t="s">
        <v>3</v>
      </c>
      <c r="C160" t="s">
        <v>35</v>
      </c>
      <c r="D160">
        <v>497.15487999999999</v>
      </c>
      <c r="E160">
        <v>2.4190000000000822E-2</v>
      </c>
      <c r="F160">
        <f t="shared" si="8"/>
        <v>24.190000000000822</v>
      </c>
      <c r="G160">
        <f t="shared" si="9"/>
        <v>20.552082678792193</v>
      </c>
      <c r="H160" t="s">
        <v>33</v>
      </c>
      <c r="J160">
        <v>413</v>
      </c>
      <c r="K160" t="s">
        <v>3</v>
      </c>
      <c r="L160" t="s">
        <v>35</v>
      </c>
      <c r="M160">
        <v>497.15487999999999</v>
      </c>
      <c r="N160">
        <v>2.419E-2</v>
      </c>
      <c r="O160">
        <v>24.19</v>
      </c>
      <c r="P160">
        <v>20.552082680000002</v>
      </c>
      <c r="Q160" t="s">
        <v>33</v>
      </c>
      <c r="AF160" t="s">
        <v>69</v>
      </c>
      <c r="AG160">
        <v>24.907713999999999</v>
      </c>
    </row>
    <row r="161" spans="1:33" x14ac:dyDescent="0.2">
      <c r="A161">
        <v>417</v>
      </c>
      <c r="B161" t="s">
        <v>3</v>
      </c>
      <c r="C161" t="s">
        <v>35</v>
      </c>
      <c r="D161">
        <v>749.22051999999996</v>
      </c>
      <c r="E161">
        <v>2.1950000000000358E-2</v>
      </c>
      <c r="F161">
        <f t="shared" si="8"/>
        <v>21.950000000000358</v>
      </c>
      <c r="G161">
        <f t="shared" si="9"/>
        <v>34.133053302960718</v>
      </c>
      <c r="H161" t="s">
        <v>27</v>
      </c>
      <c r="J161">
        <v>417</v>
      </c>
      <c r="K161" t="s">
        <v>3</v>
      </c>
      <c r="L161" t="s">
        <v>35</v>
      </c>
      <c r="M161">
        <v>749.22051999999996</v>
      </c>
      <c r="N161">
        <v>2.1950000000000001E-2</v>
      </c>
      <c r="O161">
        <v>21.95</v>
      </c>
      <c r="P161">
        <v>34.1330533</v>
      </c>
      <c r="Q161" t="s">
        <v>27</v>
      </c>
      <c r="AF161" t="s">
        <v>92</v>
      </c>
      <c r="AG161">
        <v>23.512419999999999</v>
      </c>
    </row>
    <row r="162" spans="1:33" x14ac:dyDescent="0.2">
      <c r="A162">
        <v>418</v>
      </c>
      <c r="B162" t="s">
        <v>3</v>
      </c>
      <c r="C162" t="s">
        <v>25</v>
      </c>
      <c r="D162">
        <v>832.78503000000001</v>
      </c>
      <c r="E162">
        <v>1.6929999999998557E-2</v>
      </c>
      <c r="F162">
        <f t="shared" si="8"/>
        <v>16.929999999998557</v>
      </c>
      <c r="G162">
        <f t="shared" si="9"/>
        <v>49.189901358539338</v>
      </c>
      <c r="H162" t="s">
        <v>27</v>
      </c>
      <c r="J162">
        <v>418</v>
      </c>
      <c r="K162" t="s">
        <v>3</v>
      </c>
      <c r="L162" t="s">
        <v>25</v>
      </c>
      <c r="M162">
        <v>832.78503000000001</v>
      </c>
      <c r="N162">
        <v>1.6930000000000001E-2</v>
      </c>
      <c r="O162">
        <v>16.93</v>
      </c>
      <c r="P162">
        <v>49.18990136</v>
      </c>
      <c r="Q162" t="s">
        <v>27</v>
      </c>
      <c r="AF162" t="s">
        <v>93</v>
      </c>
      <c r="AG162">
        <v>4.7994526000000004</v>
      </c>
    </row>
    <row r="163" spans="1:33" x14ac:dyDescent="0.2">
      <c r="A163">
        <v>421</v>
      </c>
      <c r="B163" t="s">
        <v>2</v>
      </c>
      <c r="C163" t="s">
        <v>29</v>
      </c>
      <c r="D163">
        <v>0</v>
      </c>
      <c r="E163">
        <v>2.4060000000000414E-2</v>
      </c>
      <c r="F163">
        <f t="shared" si="8"/>
        <v>24.060000000000414</v>
      </c>
      <c r="G163">
        <f t="shared" si="9"/>
        <v>0</v>
      </c>
      <c r="H163" t="s">
        <v>33</v>
      </c>
      <c r="J163">
        <v>421</v>
      </c>
      <c r="K163" t="s">
        <v>2</v>
      </c>
      <c r="L163" t="s">
        <v>29</v>
      </c>
      <c r="M163">
        <v>0</v>
      </c>
      <c r="N163">
        <v>2.4060000000000002E-2</v>
      </c>
      <c r="O163">
        <v>24.06</v>
      </c>
      <c r="P163">
        <v>0</v>
      </c>
      <c r="Q163" t="s">
        <v>33</v>
      </c>
      <c r="AF163" t="s">
        <v>94</v>
      </c>
      <c r="AG163">
        <v>34.836137999999998</v>
      </c>
    </row>
    <row r="164" spans="1:33" x14ac:dyDescent="0.2">
      <c r="A164">
        <v>423</v>
      </c>
      <c r="B164" t="s">
        <v>2</v>
      </c>
      <c r="C164" t="s">
        <v>35</v>
      </c>
      <c r="D164">
        <v>869.01819</v>
      </c>
      <c r="E164">
        <v>2.0790000000001641E-2</v>
      </c>
      <c r="F164">
        <f t="shared" ref="F164:F174" si="10">E164*1000</f>
        <v>20.790000000001641</v>
      </c>
      <c r="G164">
        <f t="shared" ref="G164:G174" si="11">D164/F164</f>
        <v>41.799816738813441</v>
      </c>
      <c r="H164" t="s">
        <v>27</v>
      </c>
      <c r="J164">
        <v>423</v>
      </c>
      <c r="K164" t="s">
        <v>2</v>
      </c>
      <c r="L164" t="s">
        <v>35</v>
      </c>
      <c r="M164">
        <v>869.01819</v>
      </c>
      <c r="N164">
        <v>2.0789999999999999E-2</v>
      </c>
      <c r="O164">
        <v>20.79</v>
      </c>
      <c r="P164">
        <v>41.799816739999997</v>
      </c>
      <c r="Q164" t="s">
        <v>27</v>
      </c>
      <c r="AF164" t="s">
        <v>95</v>
      </c>
      <c r="AG164">
        <v>14.979289</v>
      </c>
    </row>
    <row r="165" spans="1:33" x14ac:dyDescent="0.2">
      <c r="A165">
        <v>425</v>
      </c>
      <c r="B165" t="s">
        <v>3</v>
      </c>
      <c r="C165" t="s">
        <v>29</v>
      </c>
      <c r="D165">
        <v>536.23395000000005</v>
      </c>
      <c r="E165">
        <v>1.9940000000000069E-2</v>
      </c>
      <c r="F165">
        <f t="shared" si="10"/>
        <v>19.940000000000069</v>
      </c>
      <c r="G165">
        <f t="shared" si="11"/>
        <v>26.892374623871525</v>
      </c>
      <c r="H165" t="s">
        <v>27</v>
      </c>
      <c r="J165">
        <v>425</v>
      </c>
      <c r="K165" t="s">
        <v>3</v>
      </c>
      <c r="L165" t="s">
        <v>29</v>
      </c>
      <c r="M165">
        <v>536.23395000000005</v>
      </c>
      <c r="N165">
        <v>1.9939999999999999E-2</v>
      </c>
      <c r="O165">
        <v>19.940000000000001</v>
      </c>
      <c r="P165">
        <v>26.892374619999998</v>
      </c>
      <c r="Q165" t="s">
        <v>27</v>
      </c>
      <c r="AF165" t="s">
        <v>96</v>
      </c>
      <c r="AG165">
        <v>24</v>
      </c>
    </row>
    <row r="166" spans="1:33" x14ac:dyDescent="0.2">
      <c r="A166">
        <v>429</v>
      </c>
      <c r="B166" t="s">
        <v>3</v>
      </c>
      <c r="C166" t="s">
        <v>35</v>
      </c>
      <c r="D166">
        <v>0</v>
      </c>
      <c r="E166">
        <v>1.5439999999999898E-2</v>
      </c>
      <c r="F166">
        <f t="shared" si="10"/>
        <v>15.439999999999898</v>
      </c>
      <c r="G166">
        <f t="shared" si="11"/>
        <v>0</v>
      </c>
      <c r="H166" t="s">
        <v>33</v>
      </c>
      <c r="J166">
        <v>429</v>
      </c>
      <c r="K166" t="s">
        <v>3</v>
      </c>
      <c r="L166" t="s">
        <v>35</v>
      </c>
      <c r="M166">
        <v>0</v>
      </c>
      <c r="N166">
        <v>1.5440000000000001E-2</v>
      </c>
      <c r="O166">
        <v>15.44</v>
      </c>
      <c r="P166">
        <v>0</v>
      </c>
      <c r="Q166" t="s">
        <v>33</v>
      </c>
    </row>
    <row r="167" spans="1:33" x14ac:dyDescent="0.2">
      <c r="A167">
        <v>436</v>
      </c>
      <c r="B167" t="s">
        <v>2</v>
      </c>
      <c r="C167" t="s">
        <v>29</v>
      </c>
      <c r="D167">
        <v>971.44281000000001</v>
      </c>
      <c r="E167">
        <v>2.1390000000000242E-2</v>
      </c>
      <c r="F167">
        <f t="shared" si="10"/>
        <v>21.390000000000242</v>
      </c>
      <c r="G167">
        <f t="shared" si="11"/>
        <v>45.415746143056992</v>
      </c>
      <c r="H167" t="s">
        <v>27</v>
      </c>
      <c r="J167">
        <v>436</v>
      </c>
      <c r="K167" t="s">
        <v>2</v>
      </c>
      <c r="L167" t="s">
        <v>29</v>
      </c>
      <c r="M167">
        <v>971.44281000000001</v>
      </c>
      <c r="N167">
        <v>2.1389999999999999E-2</v>
      </c>
      <c r="O167">
        <v>21.39</v>
      </c>
      <c r="P167">
        <v>45.415746140000003</v>
      </c>
      <c r="Q167" t="s">
        <v>27</v>
      </c>
    </row>
    <row r="168" spans="1:33" x14ac:dyDescent="0.2">
      <c r="A168">
        <v>441</v>
      </c>
      <c r="B168" t="s">
        <v>2</v>
      </c>
      <c r="C168" t="s">
        <v>35</v>
      </c>
      <c r="D168">
        <v>899.93317000000002</v>
      </c>
      <c r="E168">
        <v>1.9739999999998759E-2</v>
      </c>
      <c r="F168">
        <f t="shared" si="10"/>
        <v>19.739999999998759</v>
      </c>
      <c r="G168">
        <f t="shared" si="11"/>
        <v>45.589319655524655</v>
      </c>
      <c r="H168" t="s">
        <v>33</v>
      </c>
      <c r="J168">
        <v>441</v>
      </c>
      <c r="K168" t="s">
        <v>2</v>
      </c>
      <c r="L168" t="s">
        <v>35</v>
      </c>
      <c r="M168">
        <v>899.93317000000002</v>
      </c>
      <c r="N168">
        <v>1.9740000000000001E-2</v>
      </c>
      <c r="O168">
        <v>19.739999999999998</v>
      </c>
      <c r="P168">
        <v>45.589319660000001</v>
      </c>
      <c r="Q168" t="s">
        <v>33</v>
      </c>
    </row>
    <row r="169" spans="1:33" x14ac:dyDescent="0.2">
      <c r="A169">
        <v>442</v>
      </c>
      <c r="B169" t="s">
        <v>2</v>
      </c>
      <c r="C169" t="s">
        <v>29</v>
      </c>
      <c r="D169">
        <v>756.33203000000003</v>
      </c>
      <c r="E169">
        <v>2.1889999999999077E-2</v>
      </c>
      <c r="F169">
        <f t="shared" si="10"/>
        <v>21.889999999999077</v>
      </c>
      <c r="G169">
        <f t="shared" si="11"/>
        <v>34.55148606669858</v>
      </c>
      <c r="H169" t="s">
        <v>27</v>
      </c>
      <c r="J169">
        <v>442</v>
      </c>
      <c r="K169" t="s">
        <v>2</v>
      </c>
      <c r="L169" t="s">
        <v>29</v>
      </c>
      <c r="M169">
        <v>756.33203000000003</v>
      </c>
      <c r="N169">
        <v>2.189E-2</v>
      </c>
      <c r="O169">
        <v>21.89</v>
      </c>
      <c r="P169">
        <v>34.551486070000003</v>
      </c>
      <c r="Q169" t="s">
        <v>27</v>
      </c>
    </row>
    <row r="170" spans="1:33" x14ac:dyDescent="0.2">
      <c r="A170">
        <v>450</v>
      </c>
      <c r="B170" t="s">
        <v>3</v>
      </c>
      <c r="C170" t="s">
        <v>25</v>
      </c>
      <c r="D170">
        <v>1217.19092</v>
      </c>
      <c r="E170">
        <v>1.8000000000000682E-2</v>
      </c>
      <c r="F170">
        <f t="shared" si="10"/>
        <v>18.000000000000682</v>
      </c>
      <c r="G170">
        <f t="shared" si="11"/>
        <v>67.621717777775217</v>
      </c>
      <c r="H170" t="s">
        <v>33</v>
      </c>
      <c r="J170">
        <v>450</v>
      </c>
      <c r="K170" t="s">
        <v>3</v>
      </c>
      <c r="L170" t="s">
        <v>25</v>
      </c>
      <c r="M170">
        <v>1217.19092</v>
      </c>
      <c r="N170">
        <v>1.7999999999999999E-2</v>
      </c>
      <c r="O170">
        <v>18</v>
      </c>
      <c r="P170">
        <v>67.621717779999997</v>
      </c>
      <c r="Q170" t="s">
        <v>33</v>
      </c>
      <c r="AF170" t="s">
        <v>257</v>
      </c>
    </row>
    <row r="171" spans="1:33" x14ac:dyDescent="0.2">
      <c r="A171">
        <v>456</v>
      </c>
      <c r="B171" t="s">
        <v>2</v>
      </c>
      <c r="C171" t="s">
        <v>25</v>
      </c>
      <c r="D171">
        <v>382.06027</v>
      </c>
      <c r="E171">
        <v>1.8420000000000769E-2</v>
      </c>
      <c r="F171">
        <f t="shared" si="10"/>
        <v>18.420000000000769</v>
      </c>
      <c r="G171">
        <f t="shared" si="11"/>
        <v>20.741599891421501</v>
      </c>
      <c r="H171" t="s">
        <v>33</v>
      </c>
      <c r="J171">
        <v>456</v>
      </c>
      <c r="K171" t="s">
        <v>2</v>
      </c>
      <c r="L171" t="s">
        <v>25</v>
      </c>
      <c r="M171">
        <v>382.06027</v>
      </c>
      <c r="N171">
        <v>1.8419999999999999E-2</v>
      </c>
      <c r="O171">
        <v>18.420000000000002</v>
      </c>
      <c r="P171">
        <v>20.74159989</v>
      </c>
      <c r="Q171" t="s">
        <v>33</v>
      </c>
    </row>
    <row r="172" spans="1:33" x14ac:dyDescent="0.2">
      <c r="A172">
        <v>458</v>
      </c>
      <c r="B172" t="s">
        <v>2</v>
      </c>
      <c r="C172" t="s">
        <v>25</v>
      </c>
      <c r="D172">
        <v>477.71026999999998</v>
      </c>
      <c r="E172">
        <v>2.2000000000000242E-2</v>
      </c>
      <c r="F172">
        <f t="shared" si="10"/>
        <v>22.000000000000242</v>
      </c>
      <c r="G172">
        <f t="shared" si="11"/>
        <v>21.714103181817944</v>
      </c>
      <c r="H172" t="s">
        <v>33</v>
      </c>
      <c r="J172">
        <v>458</v>
      </c>
      <c r="K172" t="s">
        <v>2</v>
      </c>
      <c r="L172" t="s">
        <v>25</v>
      </c>
      <c r="M172">
        <v>477.71026999999998</v>
      </c>
      <c r="N172">
        <v>2.1999999999999999E-2</v>
      </c>
      <c r="O172">
        <v>22</v>
      </c>
      <c r="P172">
        <v>21.714103179999999</v>
      </c>
      <c r="Q172" t="s">
        <v>33</v>
      </c>
    </row>
    <row r="173" spans="1:33" x14ac:dyDescent="0.2">
      <c r="A173">
        <v>459</v>
      </c>
      <c r="B173" t="s">
        <v>2</v>
      </c>
      <c r="C173" t="s">
        <v>29</v>
      </c>
      <c r="D173">
        <v>601.21234000000004</v>
      </c>
      <c r="E173">
        <v>2.3930000000000007E-2</v>
      </c>
      <c r="F173">
        <f t="shared" si="10"/>
        <v>23.930000000000007</v>
      </c>
      <c r="G173">
        <f t="shared" si="11"/>
        <v>25.123791893021306</v>
      </c>
      <c r="H173" t="s">
        <v>33</v>
      </c>
      <c r="J173">
        <v>459</v>
      </c>
      <c r="K173" t="s">
        <v>2</v>
      </c>
      <c r="L173" t="s">
        <v>29</v>
      </c>
      <c r="M173">
        <v>601.21234000000004</v>
      </c>
      <c r="N173">
        <v>2.393E-2</v>
      </c>
      <c r="O173">
        <v>23.93</v>
      </c>
      <c r="P173">
        <v>25.12379189</v>
      </c>
      <c r="Q173" t="s">
        <v>33</v>
      </c>
      <c r="AF173" t="s">
        <v>60</v>
      </c>
    </row>
    <row r="174" spans="1:33" x14ac:dyDescent="0.2">
      <c r="A174">
        <v>466</v>
      </c>
      <c r="B174" t="s">
        <v>2</v>
      </c>
      <c r="C174" t="s">
        <v>29</v>
      </c>
      <c r="D174">
        <v>657.75507000000005</v>
      </c>
      <c r="E174">
        <v>1.8710000000000448E-2</v>
      </c>
      <c r="F174">
        <f t="shared" si="10"/>
        <v>18.710000000000448</v>
      </c>
      <c r="G174">
        <f t="shared" si="11"/>
        <v>35.155268305718025</v>
      </c>
      <c r="H174" t="s">
        <v>33</v>
      </c>
      <c r="J174">
        <v>466</v>
      </c>
      <c r="K174" t="s">
        <v>2</v>
      </c>
      <c r="L174" t="s">
        <v>29</v>
      </c>
      <c r="M174">
        <v>657.75507000000005</v>
      </c>
      <c r="N174">
        <v>1.8710000000000001E-2</v>
      </c>
      <c r="O174">
        <v>18.71</v>
      </c>
      <c r="P174">
        <v>35.155268309999997</v>
      </c>
      <c r="Q174" t="s">
        <v>33</v>
      </c>
    </row>
    <row r="179" spans="32:33" x14ac:dyDescent="0.2">
      <c r="AF179" t="s">
        <v>90</v>
      </c>
    </row>
    <row r="181" spans="32:33" x14ac:dyDescent="0.2">
      <c r="AF181" t="s">
        <v>91</v>
      </c>
      <c r="AG181" t="s">
        <v>91</v>
      </c>
    </row>
    <row r="182" spans="32:33" x14ac:dyDescent="0.2">
      <c r="AF182" t="s">
        <v>69</v>
      </c>
      <c r="AG182">
        <v>63.081918999999999</v>
      </c>
    </row>
    <row r="183" spans="32:33" x14ac:dyDescent="0.2">
      <c r="AF183" t="s">
        <v>92</v>
      </c>
      <c r="AG183">
        <v>69.237587000000005</v>
      </c>
    </row>
    <row r="184" spans="32:33" x14ac:dyDescent="0.2">
      <c r="AF184" t="s">
        <v>93</v>
      </c>
      <c r="AG184">
        <v>11.086887000000001</v>
      </c>
    </row>
    <row r="185" spans="32:33" x14ac:dyDescent="0.2">
      <c r="AF185" t="s">
        <v>94</v>
      </c>
      <c r="AG185">
        <v>85.526148000000006</v>
      </c>
    </row>
    <row r="186" spans="32:33" x14ac:dyDescent="0.2">
      <c r="AF186" t="s">
        <v>95</v>
      </c>
      <c r="AG186">
        <v>40.637689999999999</v>
      </c>
    </row>
    <row r="187" spans="32:33" x14ac:dyDescent="0.2">
      <c r="AF187" t="s">
        <v>96</v>
      </c>
      <c r="AG187">
        <v>39</v>
      </c>
    </row>
    <row r="192" spans="32:33" x14ac:dyDescent="0.2">
      <c r="AF192" t="s">
        <v>258</v>
      </c>
    </row>
    <row r="195" spans="32:33" x14ac:dyDescent="0.2">
      <c r="AF195" t="s">
        <v>60</v>
      </c>
    </row>
    <row r="201" spans="32:33" x14ac:dyDescent="0.2">
      <c r="AF201" t="s">
        <v>90</v>
      </c>
    </row>
    <row r="203" spans="32:33" x14ac:dyDescent="0.2">
      <c r="AF203" t="s">
        <v>91</v>
      </c>
      <c r="AG203" t="s">
        <v>91</v>
      </c>
    </row>
    <row r="204" spans="32:33" x14ac:dyDescent="0.2">
      <c r="AF204" t="s">
        <v>69</v>
      </c>
      <c r="AG204">
        <v>23.22475</v>
      </c>
    </row>
    <row r="205" spans="32:33" x14ac:dyDescent="0.2">
      <c r="AF205" t="s">
        <v>92</v>
      </c>
      <c r="AG205">
        <v>25.520205000000001</v>
      </c>
    </row>
    <row r="206" spans="32:33" x14ac:dyDescent="0.2">
      <c r="AF206" t="s">
        <v>93</v>
      </c>
      <c r="AG206">
        <v>5.0049239999999999</v>
      </c>
    </row>
    <row r="207" spans="32:33" x14ac:dyDescent="0.2">
      <c r="AF207" t="s">
        <v>94</v>
      </c>
      <c r="AG207">
        <v>33.532584</v>
      </c>
    </row>
    <row r="208" spans="32:33" x14ac:dyDescent="0.2">
      <c r="AF208" t="s">
        <v>95</v>
      </c>
      <c r="AG208">
        <v>12.916916000000001</v>
      </c>
    </row>
    <row r="209" spans="32:33" x14ac:dyDescent="0.2">
      <c r="AF209" t="s">
        <v>96</v>
      </c>
      <c r="AG209">
        <v>26</v>
      </c>
    </row>
    <row r="214" spans="32:33" x14ac:dyDescent="0.2">
      <c r="AF214" t="s">
        <v>259</v>
      </c>
    </row>
    <row r="217" spans="32:33" x14ac:dyDescent="0.2">
      <c r="AF217" t="s">
        <v>60</v>
      </c>
    </row>
    <row r="223" spans="32:33" x14ac:dyDescent="0.2">
      <c r="AF223" t="s">
        <v>90</v>
      </c>
    </row>
    <row r="225" spans="32:33" x14ac:dyDescent="0.2">
      <c r="AF225" t="s">
        <v>91</v>
      </c>
      <c r="AG225" t="s">
        <v>91</v>
      </c>
    </row>
    <row r="226" spans="32:33" x14ac:dyDescent="0.2">
      <c r="AF226" t="s">
        <v>69</v>
      </c>
      <c r="AG226">
        <v>42.314754999999998</v>
      </c>
    </row>
    <row r="227" spans="32:33" x14ac:dyDescent="0.2">
      <c r="AF227" t="s">
        <v>92</v>
      </c>
      <c r="AG227">
        <v>56.392152000000003</v>
      </c>
    </row>
    <row r="228" spans="32:33" x14ac:dyDescent="0.2">
      <c r="AF228" t="s">
        <v>93</v>
      </c>
      <c r="AG228">
        <v>10.657114999999999</v>
      </c>
    </row>
    <row r="229" spans="32:33" x14ac:dyDescent="0.2">
      <c r="AF229" t="s">
        <v>94</v>
      </c>
      <c r="AG229">
        <v>64.181348</v>
      </c>
    </row>
    <row r="230" spans="32:33" x14ac:dyDescent="0.2">
      <c r="AF230" t="s">
        <v>95</v>
      </c>
      <c r="AG230">
        <v>20.448160999999999</v>
      </c>
    </row>
    <row r="231" spans="32:33" x14ac:dyDescent="0.2">
      <c r="AF231" t="s">
        <v>96</v>
      </c>
      <c r="AG231">
        <v>28</v>
      </c>
    </row>
  </sheetData>
  <sortState xmlns:xlrd2="http://schemas.microsoft.com/office/spreadsheetml/2017/richdata2" ref="A4:P174">
    <sortCondition ref="A4:A174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227"/>
  <sheetViews>
    <sheetView tabSelected="1" workbookViewId="0">
      <selection activeCell="D3" sqref="D3:D174"/>
    </sheetView>
  </sheetViews>
  <sheetFormatPr baseColWidth="10" defaultColWidth="8.83203125" defaultRowHeight="15" x14ac:dyDescent="0.2"/>
  <cols>
    <col min="1" max="2" width="9.1640625" customWidth="1"/>
    <col min="3" max="3" width="10.83203125" customWidth="1"/>
    <col min="4" max="8" width="9.1640625"/>
  </cols>
  <sheetData>
    <row r="1" spans="1:63" ht="205.5" customHeight="1" x14ac:dyDescent="0.2"/>
    <row r="2" spans="1:63" x14ac:dyDescent="0.2">
      <c r="A2" t="s">
        <v>86</v>
      </c>
      <c r="J2" t="s">
        <v>215</v>
      </c>
      <c r="S2" t="s">
        <v>201</v>
      </c>
    </row>
    <row r="3" spans="1:63" ht="48" x14ac:dyDescent="0.2">
      <c r="A3" s="7" t="s">
        <v>6</v>
      </c>
      <c r="B3" s="7" t="s">
        <v>21</v>
      </c>
      <c r="C3" s="7" t="s">
        <v>7</v>
      </c>
      <c r="D3" s="24" t="s">
        <v>85</v>
      </c>
      <c r="E3" s="7" t="s">
        <v>17</v>
      </c>
      <c r="F3" s="7" t="s">
        <v>59</v>
      </c>
      <c r="G3" s="7" t="s">
        <v>60</v>
      </c>
      <c r="H3" s="24" t="s">
        <v>9</v>
      </c>
      <c r="J3" s="7" t="s">
        <v>6</v>
      </c>
      <c r="K3" s="7" t="s">
        <v>21</v>
      </c>
      <c r="L3" s="7" t="s">
        <v>7</v>
      </c>
      <c r="M3" s="24" t="s">
        <v>85</v>
      </c>
      <c r="N3" s="7" t="s">
        <v>17</v>
      </c>
      <c r="O3" s="7" t="s">
        <v>59</v>
      </c>
      <c r="P3" s="7" t="s">
        <v>60</v>
      </c>
      <c r="Q3" s="24" t="s">
        <v>9</v>
      </c>
      <c r="S3" s="7" t="s">
        <v>6</v>
      </c>
      <c r="T3" s="7" t="s">
        <v>21</v>
      </c>
      <c r="U3" s="7" t="s">
        <v>7</v>
      </c>
      <c r="V3" s="24" t="s">
        <v>85</v>
      </c>
      <c r="W3" s="7" t="s">
        <v>17</v>
      </c>
      <c r="X3" s="7" t="s">
        <v>59</v>
      </c>
      <c r="Y3" s="7" t="s">
        <v>60</v>
      </c>
    </row>
    <row r="4" spans="1:63" x14ac:dyDescent="0.2">
      <c r="A4">
        <v>6</v>
      </c>
      <c r="B4" t="s">
        <v>2</v>
      </c>
      <c r="C4" t="s">
        <v>25</v>
      </c>
      <c r="D4">
        <v>2137.9856</v>
      </c>
      <c r="E4">
        <v>2.1650000000001057E-2</v>
      </c>
      <c r="F4">
        <f>E4*1000</f>
        <v>21.650000000001057</v>
      </c>
      <c r="G4">
        <f>D4/F4</f>
        <v>98.7522217090021</v>
      </c>
      <c r="H4" t="s">
        <v>27</v>
      </c>
      <c r="J4">
        <v>6</v>
      </c>
      <c r="K4" t="s">
        <v>2</v>
      </c>
      <c r="L4" t="s">
        <v>25</v>
      </c>
      <c r="M4">
        <v>2137.9856</v>
      </c>
      <c r="N4">
        <v>2.1649999999999999E-2</v>
      </c>
      <c r="O4">
        <v>21.65</v>
      </c>
      <c r="P4">
        <v>98.752221710000001</v>
      </c>
      <c r="Q4" t="s">
        <v>27</v>
      </c>
      <c r="S4">
        <v>6</v>
      </c>
      <c r="T4" t="s">
        <v>2</v>
      </c>
      <c r="U4" t="s">
        <v>25</v>
      </c>
      <c r="V4">
        <v>2137.9856</v>
      </c>
      <c r="W4">
        <v>2.1649999999999999E-2</v>
      </c>
      <c r="X4">
        <v>21.65</v>
      </c>
      <c r="Y4">
        <v>98.752221710000001</v>
      </c>
      <c r="AB4" t="s">
        <v>238</v>
      </c>
      <c r="AO4" t="s">
        <v>239</v>
      </c>
    </row>
    <row r="5" spans="1:63" x14ac:dyDescent="0.2">
      <c r="A5">
        <v>10</v>
      </c>
      <c r="B5" t="s">
        <v>2</v>
      </c>
      <c r="C5" t="s">
        <v>29</v>
      </c>
      <c r="D5">
        <v>4250.6904299999997</v>
      </c>
      <c r="E5">
        <v>1.8620000000000303E-2</v>
      </c>
      <c r="F5">
        <f t="shared" ref="F5:F68" si="0">E5*1000</f>
        <v>18.620000000000303</v>
      </c>
      <c r="G5">
        <f t="shared" ref="G5:G68" si="1">D5/F5</f>
        <v>228.2862744360865</v>
      </c>
      <c r="H5" t="s">
        <v>27</v>
      </c>
      <c r="J5">
        <v>10</v>
      </c>
      <c r="K5" t="s">
        <v>2</v>
      </c>
      <c r="L5" t="s">
        <v>29</v>
      </c>
      <c r="M5">
        <v>4250.6904299999997</v>
      </c>
      <c r="N5">
        <v>1.8620000000000001E-2</v>
      </c>
      <c r="O5">
        <v>18.62</v>
      </c>
      <c r="P5">
        <v>228.2862744</v>
      </c>
      <c r="Q5" t="s">
        <v>27</v>
      </c>
      <c r="S5">
        <v>10</v>
      </c>
      <c r="T5" t="s">
        <v>2</v>
      </c>
      <c r="U5" t="s">
        <v>29</v>
      </c>
      <c r="V5">
        <v>4250.6904299999997</v>
      </c>
      <c r="W5">
        <v>1.8620000000000001E-2</v>
      </c>
      <c r="X5">
        <v>18.62</v>
      </c>
      <c r="Y5">
        <v>228.2862744</v>
      </c>
    </row>
    <row r="6" spans="1:63" x14ac:dyDescent="0.2">
      <c r="A6">
        <v>15</v>
      </c>
      <c r="B6" t="s">
        <v>2</v>
      </c>
      <c r="C6" t="s">
        <v>29</v>
      </c>
      <c r="D6">
        <v>1582.4105199999999</v>
      </c>
      <c r="E6">
        <v>1.9729999999999137E-2</v>
      </c>
      <c r="F6">
        <f t="shared" si="0"/>
        <v>19.729999999999137</v>
      </c>
      <c r="G6">
        <f t="shared" si="1"/>
        <v>80.203270146987791</v>
      </c>
      <c r="H6" t="s">
        <v>33</v>
      </c>
      <c r="J6">
        <v>15</v>
      </c>
      <c r="K6" t="s">
        <v>2</v>
      </c>
      <c r="L6" t="s">
        <v>29</v>
      </c>
      <c r="M6">
        <v>1582.4105199999999</v>
      </c>
      <c r="N6">
        <v>1.9730000000000001E-2</v>
      </c>
      <c r="O6">
        <v>19.73</v>
      </c>
      <c r="P6">
        <v>80.203270149999994</v>
      </c>
      <c r="Q6" t="s">
        <v>33</v>
      </c>
      <c r="S6">
        <v>15</v>
      </c>
      <c r="T6" t="s">
        <v>2</v>
      </c>
      <c r="U6" t="s">
        <v>29</v>
      </c>
      <c r="V6">
        <v>1582.4105199999999</v>
      </c>
      <c r="W6">
        <v>1.9730000000000001E-2</v>
      </c>
      <c r="X6">
        <v>19.73</v>
      </c>
      <c r="Y6">
        <v>80.203270149999994</v>
      </c>
      <c r="AO6" t="s">
        <v>240</v>
      </c>
      <c r="BB6" t="s">
        <v>1</v>
      </c>
      <c r="BC6" t="s">
        <v>263</v>
      </c>
      <c r="BD6" t="s">
        <v>264</v>
      </c>
      <c r="BK6" t="s">
        <v>4</v>
      </c>
    </row>
    <row r="7" spans="1:63" x14ac:dyDescent="0.2">
      <c r="A7">
        <v>17</v>
      </c>
      <c r="B7" t="s">
        <v>2</v>
      </c>
      <c r="C7" t="s">
        <v>35</v>
      </c>
      <c r="D7">
        <v>6379.7456099999999</v>
      </c>
      <c r="E7">
        <v>1.9610000000000127E-2</v>
      </c>
      <c r="F7">
        <f t="shared" si="0"/>
        <v>19.610000000000127</v>
      </c>
      <c r="G7">
        <f t="shared" si="1"/>
        <v>325.33123967363377</v>
      </c>
      <c r="H7" t="s">
        <v>27</v>
      </c>
      <c r="J7">
        <v>17</v>
      </c>
      <c r="K7" t="s">
        <v>2</v>
      </c>
      <c r="L7" t="s">
        <v>35</v>
      </c>
      <c r="M7">
        <v>6379.7456099999999</v>
      </c>
      <c r="N7">
        <v>1.9609999999999999E-2</v>
      </c>
      <c r="O7">
        <v>19.61</v>
      </c>
      <c r="P7">
        <v>325.33123970000003</v>
      </c>
      <c r="Q7" t="s">
        <v>27</v>
      </c>
      <c r="S7">
        <v>17</v>
      </c>
      <c r="T7" t="s">
        <v>2</v>
      </c>
      <c r="U7" t="s">
        <v>35</v>
      </c>
      <c r="V7">
        <v>6379.7456099999999</v>
      </c>
      <c r="W7">
        <v>1.9609999999999999E-2</v>
      </c>
      <c r="X7">
        <v>19.61</v>
      </c>
      <c r="Y7">
        <v>325.33123970000003</v>
      </c>
      <c r="AB7" t="s">
        <v>202</v>
      </c>
    </row>
    <row r="8" spans="1:63" x14ac:dyDescent="0.2">
      <c r="A8">
        <v>20</v>
      </c>
      <c r="B8" t="s">
        <v>2</v>
      </c>
      <c r="C8" t="s">
        <v>29</v>
      </c>
      <c r="D8">
        <v>2177.2141099999999</v>
      </c>
      <c r="E8">
        <v>1.9590000000000884E-2</v>
      </c>
      <c r="F8">
        <f t="shared" si="0"/>
        <v>19.590000000000884</v>
      </c>
      <c r="G8">
        <f t="shared" si="1"/>
        <v>111.13905615109248</v>
      </c>
      <c r="H8" t="s">
        <v>33</v>
      </c>
      <c r="J8">
        <v>20</v>
      </c>
      <c r="K8" t="s">
        <v>2</v>
      </c>
      <c r="L8" t="s">
        <v>29</v>
      </c>
      <c r="M8">
        <v>2177.2141099999999</v>
      </c>
      <c r="N8">
        <v>1.959E-2</v>
      </c>
      <c r="O8">
        <v>19.59</v>
      </c>
      <c r="P8">
        <v>111.1390562</v>
      </c>
      <c r="Q8" t="s">
        <v>33</v>
      </c>
      <c r="S8">
        <v>20</v>
      </c>
      <c r="T8" t="s">
        <v>2</v>
      </c>
      <c r="U8" t="s">
        <v>29</v>
      </c>
      <c r="V8">
        <v>2177.2141099999999</v>
      </c>
      <c r="W8">
        <v>1.959E-2</v>
      </c>
      <c r="X8">
        <v>19.59</v>
      </c>
      <c r="Y8">
        <v>111.1390562</v>
      </c>
      <c r="AO8" t="s">
        <v>107</v>
      </c>
    </row>
    <row r="9" spans="1:63" x14ac:dyDescent="0.2">
      <c r="A9">
        <v>23</v>
      </c>
      <c r="B9" t="s">
        <v>2</v>
      </c>
      <c r="C9" t="s">
        <v>29</v>
      </c>
      <c r="D9">
        <v>1094.047</v>
      </c>
      <c r="E9">
        <v>2.4339999999998696E-2</v>
      </c>
      <c r="F9">
        <f t="shared" si="0"/>
        <v>24.339999999998696</v>
      </c>
      <c r="G9">
        <f t="shared" si="1"/>
        <v>44.948520953165925</v>
      </c>
      <c r="H9" t="s">
        <v>27</v>
      </c>
      <c r="J9">
        <v>23</v>
      </c>
      <c r="K9" t="s">
        <v>2</v>
      </c>
      <c r="L9" t="s">
        <v>29</v>
      </c>
      <c r="M9">
        <v>1094.047</v>
      </c>
      <c r="N9">
        <v>2.4340000000000001E-2</v>
      </c>
      <c r="O9">
        <v>24.34</v>
      </c>
      <c r="P9">
        <v>44.948520950000002</v>
      </c>
      <c r="Q9" t="s">
        <v>27</v>
      </c>
      <c r="S9">
        <v>23</v>
      </c>
      <c r="T9" t="s">
        <v>2</v>
      </c>
      <c r="U9" t="s">
        <v>29</v>
      </c>
      <c r="V9">
        <v>1094.047</v>
      </c>
      <c r="W9">
        <v>2.4340000000000001E-2</v>
      </c>
      <c r="X9">
        <v>24.34</v>
      </c>
      <c r="Y9">
        <v>44.948520950000002</v>
      </c>
      <c r="AB9" t="s">
        <v>107</v>
      </c>
      <c r="AO9">
        <v>9</v>
      </c>
    </row>
    <row r="10" spans="1:63" x14ac:dyDescent="0.2">
      <c r="A10">
        <v>25</v>
      </c>
      <c r="B10" t="s">
        <v>2</v>
      </c>
      <c r="C10" t="s">
        <v>29</v>
      </c>
      <c r="D10">
        <v>2033.94849</v>
      </c>
      <c r="E10">
        <v>1.9569999999999865E-2</v>
      </c>
      <c r="F10">
        <f t="shared" si="0"/>
        <v>19.569999999999865</v>
      </c>
      <c r="G10">
        <f t="shared" si="1"/>
        <v>103.93196167603546</v>
      </c>
      <c r="H10" t="s">
        <v>33</v>
      </c>
      <c r="J10">
        <v>25</v>
      </c>
      <c r="K10" t="s">
        <v>2</v>
      </c>
      <c r="L10" t="s">
        <v>29</v>
      </c>
      <c r="M10">
        <v>2033.94849</v>
      </c>
      <c r="N10">
        <v>1.9570000000000001E-2</v>
      </c>
      <c r="O10">
        <v>19.57</v>
      </c>
      <c r="P10">
        <v>103.9319617</v>
      </c>
      <c r="Q10" t="s">
        <v>33</v>
      </c>
      <c r="S10">
        <v>25</v>
      </c>
      <c r="T10" t="s">
        <v>2</v>
      </c>
      <c r="U10" t="s">
        <v>29</v>
      </c>
      <c r="V10">
        <v>2033.94849</v>
      </c>
      <c r="W10">
        <v>1.9570000000000001E-2</v>
      </c>
      <c r="X10">
        <v>19.57</v>
      </c>
      <c r="Y10">
        <v>103.9319617</v>
      </c>
      <c r="AB10">
        <v>6</v>
      </c>
    </row>
    <row r="11" spans="1:63" x14ac:dyDescent="0.2">
      <c r="A11">
        <v>31</v>
      </c>
      <c r="B11" t="s">
        <v>2</v>
      </c>
      <c r="C11" t="s">
        <v>29</v>
      </c>
      <c r="D11">
        <v>2400.0927700000002</v>
      </c>
      <c r="E11">
        <v>2.1369999999999223E-2</v>
      </c>
      <c r="F11">
        <f t="shared" si="0"/>
        <v>21.369999999999223</v>
      </c>
      <c r="G11">
        <f t="shared" si="1"/>
        <v>112.31131352363535</v>
      </c>
      <c r="H11" t="s">
        <v>33</v>
      </c>
      <c r="J11">
        <v>31</v>
      </c>
      <c r="K11" t="s">
        <v>2</v>
      </c>
      <c r="L11" t="s">
        <v>29</v>
      </c>
      <c r="M11">
        <v>2400.0927700000002</v>
      </c>
      <c r="N11">
        <v>2.137E-2</v>
      </c>
      <c r="O11">
        <v>21.37</v>
      </c>
      <c r="P11">
        <v>112.3113135</v>
      </c>
      <c r="Q11" t="s">
        <v>33</v>
      </c>
      <c r="S11">
        <v>31</v>
      </c>
      <c r="T11" t="s">
        <v>2</v>
      </c>
      <c r="U11" t="s">
        <v>29</v>
      </c>
      <c r="V11">
        <v>2400.0927700000002</v>
      </c>
      <c r="W11">
        <v>2.137E-2</v>
      </c>
      <c r="X11">
        <v>21.37</v>
      </c>
      <c r="Y11">
        <v>112.3113135</v>
      </c>
    </row>
    <row r="12" spans="1:63" x14ac:dyDescent="0.2">
      <c r="A12">
        <v>42</v>
      </c>
      <c r="B12" t="s">
        <v>3</v>
      </c>
      <c r="C12" t="s">
        <v>29</v>
      </c>
      <c r="D12">
        <v>382.42102</v>
      </c>
      <c r="E12">
        <v>1.8779999999999575E-2</v>
      </c>
      <c r="F12">
        <f t="shared" si="0"/>
        <v>18.779999999999575</v>
      </c>
      <c r="G12">
        <f t="shared" si="1"/>
        <v>20.363206602769363</v>
      </c>
      <c r="H12" t="s">
        <v>33</v>
      </c>
      <c r="J12">
        <v>42</v>
      </c>
      <c r="K12" t="s">
        <v>3</v>
      </c>
      <c r="L12" t="s">
        <v>29</v>
      </c>
      <c r="M12">
        <v>382.42102</v>
      </c>
      <c r="N12">
        <v>1.8780000000000002E-2</v>
      </c>
      <c r="O12">
        <v>18.78</v>
      </c>
      <c r="P12">
        <v>20.363206600000002</v>
      </c>
      <c r="Q12" t="s">
        <v>33</v>
      </c>
      <c r="S12">
        <v>42</v>
      </c>
      <c r="T12" t="s">
        <v>3</v>
      </c>
      <c r="U12" t="s">
        <v>29</v>
      </c>
      <c r="V12">
        <v>382.42102</v>
      </c>
      <c r="W12">
        <v>1.8780000000000002E-2</v>
      </c>
      <c r="X12">
        <v>18.78</v>
      </c>
      <c r="Y12">
        <v>20.363206600000002</v>
      </c>
      <c r="AO12" t="s">
        <v>193</v>
      </c>
    </row>
    <row r="13" spans="1:63" x14ac:dyDescent="0.2">
      <c r="A13">
        <v>43</v>
      </c>
      <c r="B13" t="s">
        <v>2</v>
      </c>
      <c r="C13" t="s">
        <v>25</v>
      </c>
      <c r="D13">
        <v>5657.3422899999996</v>
      </c>
      <c r="E13">
        <v>2.1509999999999252E-2</v>
      </c>
      <c r="F13">
        <f t="shared" si="0"/>
        <v>21.509999999999252</v>
      </c>
      <c r="G13">
        <f t="shared" si="1"/>
        <v>263.00986936309607</v>
      </c>
      <c r="H13" t="s">
        <v>33</v>
      </c>
      <c r="J13">
        <v>43</v>
      </c>
      <c r="K13" t="s">
        <v>2</v>
      </c>
      <c r="L13" t="s">
        <v>25</v>
      </c>
      <c r="M13">
        <v>5657.3422899999996</v>
      </c>
      <c r="N13">
        <v>2.1510000000000001E-2</v>
      </c>
      <c r="O13">
        <v>21.51</v>
      </c>
      <c r="P13">
        <v>263.00986940000001</v>
      </c>
      <c r="Q13" t="s">
        <v>33</v>
      </c>
      <c r="S13">
        <v>43</v>
      </c>
      <c r="T13" t="s">
        <v>2</v>
      </c>
      <c r="U13" t="s">
        <v>25</v>
      </c>
      <c r="V13">
        <v>5657.3422899999996</v>
      </c>
      <c r="W13">
        <v>2.1510000000000001E-2</v>
      </c>
      <c r="X13">
        <v>21.51</v>
      </c>
      <c r="Y13">
        <v>263.00986940000001</v>
      </c>
      <c r="AB13" t="s">
        <v>193</v>
      </c>
    </row>
    <row r="14" spans="1:63" x14ac:dyDescent="0.2">
      <c r="A14">
        <v>47</v>
      </c>
      <c r="B14" t="s">
        <v>2</v>
      </c>
      <c r="C14" t="s">
        <v>29</v>
      </c>
      <c r="D14">
        <v>3754.88672</v>
      </c>
      <c r="E14">
        <v>2.1369999999999223E-2</v>
      </c>
      <c r="F14">
        <f t="shared" si="0"/>
        <v>21.369999999999223</v>
      </c>
      <c r="G14">
        <f t="shared" si="1"/>
        <v>175.70831633131195</v>
      </c>
      <c r="H14" t="s">
        <v>33</v>
      </c>
      <c r="J14">
        <v>47</v>
      </c>
      <c r="K14" t="s">
        <v>2</v>
      </c>
      <c r="L14" t="s">
        <v>29</v>
      </c>
      <c r="M14">
        <v>3754.88672</v>
      </c>
      <c r="N14">
        <v>2.137E-2</v>
      </c>
      <c r="O14">
        <v>21.37</v>
      </c>
      <c r="P14">
        <v>175.70831630000001</v>
      </c>
      <c r="Q14" t="s">
        <v>33</v>
      </c>
      <c r="S14">
        <v>47</v>
      </c>
      <c r="T14" t="s">
        <v>2</v>
      </c>
      <c r="U14" t="s">
        <v>29</v>
      </c>
      <c r="V14">
        <v>3754.88672</v>
      </c>
      <c r="W14">
        <v>2.137E-2</v>
      </c>
      <c r="X14">
        <v>21.37</v>
      </c>
      <c r="Y14">
        <v>175.70831630000001</v>
      </c>
      <c r="AO14" t="s">
        <v>158</v>
      </c>
      <c r="AP14" t="s">
        <v>82</v>
      </c>
      <c r="AQ14" t="s">
        <v>194</v>
      </c>
      <c r="AR14" t="s">
        <v>195</v>
      </c>
      <c r="AS14" t="s">
        <v>196</v>
      </c>
      <c r="AT14" t="s">
        <v>197</v>
      </c>
    </row>
    <row r="15" spans="1:63" x14ac:dyDescent="0.2">
      <c r="A15">
        <v>48</v>
      </c>
      <c r="B15" t="s">
        <v>2</v>
      </c>
      <c r="C15" t="s">
        <v>25</v>
      </c>
      <c r="D15">
        <v>4750.9086900000002</v>
      </c>
      <c r="E15">
        <v>2.5490000000001345E-2</v>
      </c>
      <c r="F15">
        <f t="shared" si="0"/>
        <v>25.490000000001345</v>
      </c>
      <c r="G15">
        <f t="shared" si="1"/>
        <v>186.38323617103765</v>
      </c>
      <c r="H15" t="s">
        <v>33</v>
      </c>
      <c r="J15">
        <v>48</v>
      </c>
      <c r="K15" t="s">
        <v>2</v>
      </c>
      <c r="L15" t="s">
        <v>25</v>
      </c>
      <c r="M15">
        <v>4750.9086900000002</v>
      </c>
      <c r="N15">
        <v>2.5489999999999999E-2</v>
      </c>
      <c r="O15">
        <v>25.49</v>
      </c>
      <c r="P15">
        <v>186.3832362</v>
      </c>
      <c r="Q15" t="s">
        <v>33</v>
      </c>
      <c r="S15">
        <v>48</v>
      </c>
      <c r="T15" t="s">
        <v>2</v>
      </c>
      <c r="U15" t="s">
        <v>25</v>
      </c>
      <c r="V15">
        <v>4750.9086900000002</v>
      </c>
      <c r="W15">
        <v>2.5489999999999999E-2</v>
      </c>
      <c r="X15">
        <v>25.49</v>
      </c>
      <c r="Y15">
        <v>186.3832362</v>
      </c>
      <c r="AB15" t="s">
        <v>158</v>
      </c>
      <c r="AC15" t="s">
        <v>82</v>
      </c>
      <c r="AD15" t="s">
        <v>194</v>
      </c>
      <c r="AE15" t="s">
        <v>195</v>
      </c>
      <c r="AF15" t="s">
        <v>196</v>
      </c>
      <c r="AG15" t="s">
        <v>197</v>
      </c>
      <c r="AO15" t="s">
        <v>29</v>
      </c>
      <c r="AP15">
        <v>63</v>
      </c>
      <c r="AQ15">
        <v>4697.5</v>
      </c>
      <c r="AR15">
        <v>5134.5</v>
      </c>
      <c r="AS15">
        <v>74.563500000000005</v>
      </c>
      <c r="AT15">
        <v>-1.5</v>
      </c>
    </row>
    <row r="16" spans="1:63" x14ac:dyDescent="0.2">
      <c r="A16">
        <v>50</v>
      </c>
      <c r="B16" t="s">
        <v>2</v>
      </c>
      <c r="C16" t="s">
        <v>35</v>
      </c>
      <c r="D16">
        <v>11695.9</v>
      </c>
      <c r="E16">
        <v>2.9019999999999158E-2</v>
      </c>
      <c r="F16">
        <f t="shared" si="0"/>
        <v>29.019999999999158</v>
      </c>
      <c r="G16">
        <f t="shared" si="1"/>
        <v>403.02894555480151</v>
      </c>
      <c r="H16" t="s">
        <v>27</v>
      </c>
      <c r="J16">
        <v>50</v>
      </c>
      <c r="K16" t="s">
        <v>2</v>
      </c>
      <c r="L16" t="s">
        <v>35</v>
      </c>
      <c r="M16">
        <v>11695.9</v>
      </c>
      <c r="N16">
        <v>2.9020000000000001E-2</v>
      </c>
      <c r="O16">
        <v>29.02</v>
      </c>
      <c r="P16">
        <v>403.02894559999999</v>
      </c>
      <c r="Q16" t="s">
        <v>27</v>
      </c>
      <c r="S16">
        <v>50</v>
      </c>
      <c r="T16" t="s">
        <v>2</v>
      </c>
      <c r="U16" t="s">
        <v>35</v>
      </c>
      <c r="V16">
        <v>11695.9</v>
      </c>
      <c r="W16">
        <v>2.9020000000000001E-2</v>
      </c>
      <c r="X16">
        <v>29.02</v>
      </c>
      <c r="Y16">
        <v>403.02894559999999</v>
      </c>
      <c r="AB16" t="s">
        <v>2</v>
      </c>
      <c r="AC16">
        <v>27</v>
      </c>
      <c r="AD16">
        <v>882</v>
      </c>
      <c r="AE16">
        <v>877.5</v>
      </c>
      <c r="AF16">
        <v>32.666699999999999</v>
      </c>
      <c r="AG16">
        <v>5.3999999999999999E-2</v>
      </c>
      <c r="AO16" t="s">
        <v>25</v>
      </c>
      <c r="AP16">
        <v>49</v>
      </c>
      <c r="AQ16">
        <v>4238.5</v>
      </c>
      <c r="AR16">
        <v>3993.5</v>
      </c>
      <c r="AS16">
        <v>86.5</v>
      </c>
      <c r="AT16">
        <v>0.89200000000000002</v>
      </c>
    </row>
    <row r="17" spans="1:46" x14ac:dyDescent="0.2">
      <c r="A17">
        <v>53</v>
      </c>
      <c r="B17" t="s">
        <v>2</v>
      </c>
      <c r="C17" t="s">
        <v>29</v>
      </c>
      <c r="D17">
        <v>3741.1704100000002</v>
      </c>
      <c r="E17">
        <v>2.2980000000000445E-2</v>
      </c>
      <c r="F17">
        <f t="shared" si="0"/>
        <v>22.980000000000445</v>
      </c>
      <c r="G17">
        <f t="shared" si="1"/>
        <v>162.80114926022316</v>
      </c>
      <c r="H17" t="s">
        <v>27</v>
      </c>
      <c r="J17">
        <v>53</v>
      </c>
      <c r="K17" t="s">
        <v>2</v>
      </c>
      <c r="L17" t="s">
        <v>29</v>
      </c>
      <c r="M17">
        <v>3741.1704100000002</v>
      </c>
      <c r="N17">
        <v>2.298E-2</v>
      </c>
      <c r="O17">
        <v>22.98</v>
      </c>
      <c r="P17">
        <v>162.80114929999999</v>
      </c>
      <c r="Q17" t="s">
        <v>27</v>
      </c>
      <c r="S17">
        <v>53</v>
      </c>
      <c r="T17" t="s">
        <v>2</v>
      </c>
      <c r="U17" t="s">
        <v>29</v>
      </c>
      <c r="V17">
        <v>3741.1704100000002</v>
      </c>
      <c r="W17">
        <v>2.298E-2</v>
      </c>
      <c r="X17">
        <v>22.98</v>
      </c>
      <c r="Y17">
        <v>162.80114929999999</v>
      </c>
      <c r="AB17" t="s">
        <v>3</v>
      </c>
      <c r="AC17">
        <v>37</v>
      </c>
      <c r="AD17">
        <v>1198</v>
      </c>
      <c r="AE17">
        <v>1202.5</v>
      </c>
      <c r="AF17">
        <v>32.378399999999999</v>
      </c>
      <c r="AG17">
        <v>-5.3999999999999999E-2</v>
      </c>
      <c r="AO17" t="s">
        <v>35</v>
      </c>
      <c r="AP17">
        <v>50</v>
      </c>
      <c r="AQ17">
        <v>4267</v>
      </c>
      <c r="AR17">
        <v>4075</v>
      </c>
      <c r="AS17">
        <v>85.34</v>
      </c>
      <c r="AT17">
        <v>0.69399999999999995</v>
      </c>
    </row>
    <row r="18" spans="1:46" x14ac:dyDescent="0.2">
      <c r="A18">
        <v>54</v>
      </c>
      <c r="B18" t="s">
        <v>3</v>
      </c>
      <c r="C18" t="s">
        <v>29</v>
      </c>
      <c r="D18">
        <v>1277.6127899999999</v>
      </c>
      <c r="E18">
        <v>1.9189999999998264E-2</v>
      </c>
      <c r="F18">
        <f t="shared" si="0"/>
        <v>19.189999999998264</v>
      </c>
      <c r="G18">
        <f t="shared" si="1"/>
        <v>66.577008337681889</v>
      </c>
      <c r="H18" t="s">
        <v>27</v>
      </c>
      <c r="J18">
        <v>54</v>
      </c>
      <c r="K18" t="s">
        <v>3</v>
      </c>
      <c r="L18" t="s">
        <v>29</v>
      </c>
      <c r="M18">
        <v>1277.6127899999999</v>
      </c>
      <c r="N18">
        <v>1.9189999999999999E-2</v>
      </c>
      <c r="O18">
        <v>19.190000000000001</v>
      </c>
      <c r="P18">
        <v>66.577008340000006</v>
      </c>
      <c r="Q18" t="s">
        <v>27</v>
      </c>
      <c r="S18">
        <v>54</v>
      </c>
      <c r="T18" t="s">
        <v>3</v>
      </c>
      <c r="U18" t="s">
        <v>29</v>
      </c>
      <c r="V18">
        <v>1277.6127899999999</v>
      </c>
      <c r="W18">
        <v>1.9189999999999999E-2</v>
      </c>
      <c r="X18">
        <v>19.190000000000001</v>
      </c>
      <c r="Y18">
        <v>66.577008340000006</v>
      </c>
    </row>
    <row r="19" spans="1:46" x14ac:dyDescent="0.2">
      <c r="A19">
        <v>55</v>
      </c>
      <c r="B19" t="s">
        <v>2</v>
      </c>
      <c r="C19" t="s">
        <v>29</v>
      </c>
      <c r="D19">
        <v>1689.3819599999999</v>
      </c>
      <c r="E19">
        <v>2.0329999999999515E-2</v>
      </c>
      <c r="F19">
        <f t="shared" si="0"/>
        <v>20.329999999999515</v>
      </c>
      <c r="G19">
        <f t="shared" si="1"/>
        <v>83.097981308413196</v>
      </c>
      <c r="H19" t="s">
        <v>33</v>
      </c>
      <c r="J19">
        <v>55</v>
      </c>
      <c r="K19" t="s">
        <v>2</v>
      </c>
      <c r="L19" t="s">
        <v>29</v>
      </c>
      <c r="M19">
        <v>1689.3819599999999</v>
      </c>
      <c r="N19">
        <v>2.0330000000000001E-2</v>
      </c>
      <c r="O19">
        <v>20.329999999999998</v>
      </c>
      <c r="P19">
        <v>83.097981309999994</v>
      </c>
      <c r="Q19" t="s">
        <v>33</v>
      </c>
      <c r="S19">
        <v>55</v>
      </c>
      <c r="T19" t="s">
        <v>2</v>
      </c>
      <c r="U19" t="s">
        <v>29</v>
      </c>
      <c r="V19">
        <v>1689.3819599999999</v>
      </c>
      <c r="W19">
        <v>2.0330000000000001E-2</v>
      </c>
      <c r="X19">
        <v>20.329999999999998</v>
      </c>
      <c r="Y19">
        <v>83.097981309999994</v>
      </c>
    </row>
    <row r="20" spans="1:46" x14ac:dyDescent="0.2">
      <c r="A20">
        <v>56</v>
      </c>
      <c r="B20" t="s">
        <v>2</v>
      </c>
      <c r="C20" t="s">
        <v>35</v>
      </c>
      <c r="D20">
        <v>385.80563000000001</v>
      </c>
      <c r="E20">
        <v>2.0039999999999836E-2</v>
      </c>
      <c r="F20">
        <f t="shared" si="0"/>
        <v>20.039999999999836</v>
      </c>
      <c r="G20">
        <f t="shared" si="1"/>
        <v>19.251777944111936</v>
      </c>
      <c r="H20" t="s">
        <v>27</v>
      </c>
      <c r="J20">
        <v>56</v>
      </c>
      <c r="K20" t="s">
        <v>2</v>
      </c>
      <c r="L20" t="s">
        <v>35</v>
      </c>
      <c r="M20">
        <v>385.80563000000001</v>
      </c>
      <c r="N20">
        <v>2.0039999999999999E-2</v>
      </c>
      <c r="O20">
        <v>20.04</v>
      </c>
      <c r="P20">
        <v>19.25177794</v>
      </c>
      <c r="Q20" t="s">
        <v>27</v>
      </c>
      <c r="S20">
        <v>56</v>
      </c>
      <c r="T20" t="s">
        <v>2</v>
      </c>
      <c r="U20" t="s">
        <v>35</v>
      </c>
      <c r="V20">
        <v>385.80563000000001</v>
      </c>
      <c r="W20">
        <v>2.0039999999999999E-2</v>
      </c>
      <c r="X20">
        <v>20.04</v>
      </c>
      <c r="Y20">
        <v>19.25177794</v>
      </c>
    </row>
    <row r="21" spans="1:46" x14ac:dyDescent="0.2">
      <c r="A21">
        <v>57</v>
      </c>
      <c r="B21" t="s">
        <v>2</v>
      </c>
      <c r="C21" t="s">
        <v>35</v>
      </c>
      <c r="D21">
        <v>1422.91479</v>
      </c>
      <c r="E21">
        <v>1.872000000000007E-2</v>
      </c>
      <c r="F21">
        <f t="shared" si="0"/>
        <v>18.72000000000007</v>
      </c>
      <c r="G21">
        <f t="shared" si="1"/>
        <v>76.010405448717663</v>
      </c>
      <c r="H21" t="s">
        <v>27</v>
      </c>
      <c r="J21">
        <v>57</v>
      </c>
      <c r="K21" t="s">
        <v>2</v>
      </c>
      <c r="L21" t="s">
        <v>35</v>
      </c>
      <c r="M21">
        <v>1422.91479</v>
      </c>
      <c r="N21">
        <v>1.8720000000000001E-2</v>
      </c>
      <c r="O21">
        <v>18.72</v>
      </c>
      <c r="P21">
        <v>76.010405449999993</v>
      </c>
      <c r="Q21" t="s">
        <v>27</v>
      </c>
      <c r="S21">
        <v>57</v>
      </c>
      <c r="T21" t="s">
        <v>2</v>
      </c>
      <c r="U21" t="s">
        <v>35</v>
      </c>
      <c r="V21">
        <v>1422.91479</v>
      </c>
      <c r="W21">
        <v>1.8720000000000001E-2</v>
      </c>
      <c r="X21">
        <v>18.72</v>
      </c>
      <c r="Y21">
        <v>76.010405449999993</v>
      </c>
    </row>
    <row r="22" spans="1:46" x14ac:dyDescent="0.2">
      <c r="A22">
        <v>60</v>
      </c>
      <c r="B22" t="s">
        <v>2</v>
      </c>
      <c r="C22" t="s">
        <v>35</v>
      </c>
      <c r="D22">
        <v>1200.896</v>
      </c>
      <c r="E22">
        <v>2.3970000000000269E-2</v>
      </c>
      <c r="F22">
        <f t="shared" si="0"/>
        <v>23.970000000000269</v>
      </c>
      <c r="G22">
        <f t="shared" si="1"/>
        <v>50.09995828118425</v>
      </c>
      <c r="H22" t="s">
        <v>27</v>
      </c>
      <c r="J22">
        <v>60</v>
      </c>
      <c r="K22" t="s">
        <v>2</v>
      </c>
      <c r="L22" t="s">
        <v>35</v>
      </c>
      <c r="M22">
        <v>1200.896</v>
      </c>
      <c r="N22">
        <v>2.3970000000000002E-2</v>
      </c>
      <c r="O22">
        <v>23.97</v>
      </c>
      <c r="P22">
        <v>50.099958280000003</v>
      </c>
      <c r="Q22" t="s">
        <v>27</v>
      </c>
      <c r="S22">
        <v>60</v>
      </c>
      <c r="T22" t="s">
        <v>2</v>
      </c>
      <c r="U22" t="s">
        <v>35</v>
      </c>
      <c r="V22">
        <v>1200.896</v>
      </c>
      <c r="W22">
        <v>2.3970000000000002E-2</v>
      </c>
      <c r="X22">
        <v>23.97</v>
      </c>
      <c r="Y22">
        <v>50.099958280000003</v>
      </c>
      <c r="AB22" t="s">
        <v>203</v>
      </c>
      <c r="AO22" t="s">
        <v>198</v>
      </c>
    </row>
    <row r="23" spans="1:46" x14ac:dyDescent="0.2">
      <c r="A23">
        <v>63</v>
      </c>
      <c r="B23" t="s">
        <v>3</v>
      </c>
      <c r="C23" t="s">
        <v>35</v>
      </c>
      <c r="D23">
        <v>4817.6279299999997</v>
      </c>
      <c r="E23">
        <v>2.0870000000000388E-2</v>
      </c>
      <c r="F23">
        <f t="shared" si="0"/>
        <v>20.870000000000388</v>
      </c>
      <c r="G23">
        <f t="shared" si="1"/>
        <v>230.83986248202731</v>
      </c>
      <c r="H23" t="s">
        <v>27</v>
      </c>
      <c r="J23">
        <v>63</v>
      </c>
      <c r="K23" t="s">
        <v>3</v>
      </c>
      <c r="L23" t="s">
        <v>35</v>
      </c>
      <c r="M23">
        <v>4817.6279299999997</v>
      </c>
      <c r="N23">
        <v>2.087E-2</v>
      </c>
      <c r="O23">
        <v>20.87</v>
      </c>
      <c r="P23">
        <v>230.83986250000001</v>
      </c>
      <c r="Q23" t="s">
        <v>27</v>
      </c>
      <c r="S23">
        <v>63</v>
      </c>
      <c r="T23" t="s">
        <v>3</v>
      </c>
      <c r="U23" t="s">
        <v>35</v>
      </c>
      <c r="V23">
        <v>4817.6279299999997</v>
      </c>
      <c r="W23">
        <v>2.087E-2</v>
      </c>
      <c r="X23">
        <v>20.87</v>
      </c>
      <c r="Y23">
        <v>230.83986250000001</v>
      </c>
    </row>
    <row r="24" spans="1:46" x14ac:dyDescent="0.2">
      <c r="A24">
        <v>64</v>
      </c>
      <c r="B24" t="s">
        <v>3</v>
      </c>
      <c r="C24" t="s">
        <v>29</v>
      </c>
      <c r="D24">
        <v>7267.0156299999999</v>
      </c>
      <c r="E24">
        <v>1.7830000000000013E-2</v>
      </c>
      <c r="F24">
        <f t="shared" si="0"/>
        <v>17.830000000000013</v>
      </c>
      <c r="G24" s="23">
        <f t="shared" si="1"/>
        <v>407.57238530566434</v>
      </c>
      <c r="H24" t="s">
        <v>27</v>
      </c>
      <c r="J24">
        <v>64</v>
      </c>
      <c r="K24" t="s">
        <v>3</v>
      </c>
      <c r="L24" t="s">
        <v>29</v>
      </c>
      <c r="M24">
        <v>7267.0156299999999</v>
      </c>
      <c r="N24">
        <v>1.7829999999999999E-2</v>
      </c>
      <c r="O24">
        <v>17.829999999999998</v>
      </c>
      <c r="P24" s="23">
        <v>407.57238530000001</v>
      </c>
      <c r="Q24" t="s">
        <v>27</v>
      </c>
      <c r="S24">
        <v>64</v>
      </c>
      <c r="T24" t="s">
        <v>3</v>
      </c>
      <c r="U24" t="s">
        <v>29</v>
      </c>
      <c r="V24">
        <v>7267.0156299999999</v>
      </c>
      <c r="W24">
        <v>1.7829999999999999E-2</v>
      </c>
      <c r="X24">
        <v>17.829999999999998</v>
      </c>
      <c r="AB24" t="s">
        <v>204</v>
      </c>
      <c r="AC24" t="s">
        <v>205</v>
      </c>
      <c r="AD24" t="s">
        <v>206</v>
      </c>
      <c r="AO24" t="s">
        <v>199</v>
      </c>
      <c r="AP24" t="s">
        <v>114</v>
      </c>
      <c r="AQ24" t="s">
        <v>200</v>
      </c>
    </row>
    <row r="25" spans="1:46" x14ac:dyDescent="0.2">
      <c r="A25">
        <v>70</v>
      </c>
      <c r="B25" t="s">
        <v>3</v>
      </c>
      <c r="C25" t="s">
        <v>35</v>
      </c>
      <c r="D25">
        <v>1414.6163300000001</v>
      </c>
      <c r="E25">
        <v>2.1380000000000621E-2</v>
      </c>
      <c r="F25">
        <f t="shared" si="0"/>
        <v>21.380000000000621</v>
      </c>
      <c r="G25">
        <f t="shared" si="1"/>
        <v>66.1654036482675</v>
      </c>
      <c r="H25" t="s">
        <v>27</v>
      </c>
      <c r="J25">
        <v>70</v>
      </c>
      <c r="K25" t="s">
        <v>3</v>
      </c>
      <c r="L25" t="s">
        <v>35</v>
      </c>
      <c r="M25">
        <v>1414.6163300000001</v>
      </c>
      <c r="N25">
        <v>2.138E-2</v>
      </c>
      <c r="O25">
        <v>21.38</v>
      </c>
      <c r="P25">
        <v>66.165403650000002</v>
      </c>
      <c r="Q25" t="s">
        <v>27</v>
      </c>
      <c r="S25">
        <v>70</v>
      </c>
      <c r="T25" t="s">
        <v>3</v>
      </c>
      <c r="U25" t="s">
        <v>35</v>
      </c>
      <c r="V25">
        <v>1414.6163300000001</v>
      </c>
      <c r="W25">
        <v>2.138E-2</v>
      </c>
      <c r="X25">
        <v>21.38</v>
      </c>
      <c r="Y25">
        <v>66.165403650000002</v>
      </c>
      <c r="AB25">
        <v>882</v>
      </c>
      <c r="AC25">
        <v>5.4379999999999998E-2</v>
      </c>
      <c r="AD25">
        <v>0.95660000000000001</v>
      </c>
      <c r="AO25">
        <v>2.2692999999999999</v>
      </c>
      <c r="AP25">
        <v>2</v>
      </c>
      <c r="AQ25" s="23">
        <v>0.32150000000000001</v>
      </c>
    </row>
    <row r="26" spans="1:46" x14ac:dyDescent="0.2">
      <c r="A26">
        <v>71</v>
      </c>
      <c r="B26" t="s">
        <v>3</v>
      </c>
      <c r="C26" t="s">
        <v>35</v>
      </c>
      <c r="D26">
        <v>727.47844999999995</v>
      </c>
      <c r="E26">
        <v>1.7899999999999139E-2</v>
      </c>
      <c r="F26">
        <f t="shared" si="0"/>
        <v>17.899999999999139</v>
      </c>
      <c r="G26">
        <f t="shared" si="1"/>
        <v>40.641254189946089</v>
      </c>
      <c r="H26" t="s">
        <v>27</v>
      </c>
      <c r="J26">
        <v>71</v>
      </c>
      <c r="K26" t="s">
        <v>3</v>
      </c>
      <c r="L26" t="s">
        <v>35</v>
      </c>
      <c r="M26">
        <v>727.47844999999995</v>
      </c>
      <c r="N26">
        <v>1.7899999999999999E-2</v>
      </c>
      <c r="O26">
        <v>17.899999999999999</v>
      </c>
      <c r="P26">
        <v>40.641254189999998</v>
      </c>
      <c r="Q26" t="s">
        <v>27</v>
      </c>
      <c r="S26">
        <v>71</v>
      </c>
      <c r="T26" t="s">
        <v>3</v>
      </c>
      <c r="U26" t="s">
        <v>35</v>
      </c>
      <c r="V26">
        <v>727.47844999999995</v>
      </c>
      <c r="W26">
        <v>1.7899999999999999E-2</v>
      </c>
      <c r="X26">
        <v>17.899999999999999</v>
      </c>
      <c r="Y26">
        <v>40.641254189999998</v>
      </c>
    </row>
    <row r="27" spans="1:46" x14ac:dyDescent="0.2">
      <c r="A27">
        <v>72</v>
      </c>
      <c r="B27" t="s">
        <v>2</v>
      </c>
      <c r="C27" t="s">
        <v>25</v>
      </c>
      <c r="D27">
        <v>1362.63428</v>
      </c>
      <c r="E27">
        <v>2.4480000000000501E-2</v>
      </c>
      <c r="F27">
        <f t="shared" si="0"/>
        <v>24.480000000000501</v>
      </c>
      <c r="G27">
        <f t="shared" si="1"/>
        <v>55.663165032678599</v>
      </c>
      <c r="H27" t="s">
        <v>27</v>
      </c>
      <c r="J27">
        <v>72</v>
      </c>
      <c r="K27" t="s">
        <v>2</v>
      </c>
      <c r="L27" t="s">
        <v>25</v>
      </c>
      <c r="M27">
        <v>1362.63428</v>
      </c>
      <c r="N27">
        <v>2.4479999999999998E-2</v>
      </c>
      <c r="O27">
        <v>24.48</v>
      </c>
      <c r="P27">
        <v>55.663165030000002</v>
      </c>
      <c r="Q27" t="s">
        <v>27</v>
      </c>
      <c r="S27">
        <v>72</v>
      </c>
      <c r="T27" t="s">
        <v>2</v>
      </c>
      <c r="U27" t="s">
        <v>25</v>
      </c>
      <c r="V27">
        <v>1362.63428</v>
      </c>
      <c r="W27">
        <v>2.4479999999999998E-2</v>
      </c>
      <c r="X27">
        <v>24.48</v>
      </c>
      <c r="Y27">
        <v>55.663165030000002</v>
      </c>
    </row>
    <row r="28" spans="1:46" x14ac:dyDescent="0.2">
      <c r="A28">
        <v>74</v>
      </c>
      <c r="B28" t="s">
        <v>2</v>
      </c>
      <c r="C28" t="s">
        <v>25</v>
      </c>
      <c r="D28">
        <v>3836.3149400000002</v>
      </c>
      <c r="E28">
        <v>2.5190000000000268E-2</v>
      </c>
      <c r="F28">
        <f t="shared" si="0"/>
        <v>25.190000000000268</v>
      </c>
      <c r="G28">
        <f t="shared" si="1"/>
        <v>152.29515442635807</v>
      </c>
      <c r="H28" t="s">
        <v>27</v>
      </c>
      <c r="J28">
        <v>74</v>
      </c>
      <c r="K28" t="s">
        <v>2</v>
      </c>
      <c r="L28" t="s">
        <v>25</v>
      </c>
      <c r="M28">
        <v>3836.3149400000002</v>
      </c>
      <c r="N28">
        <v>2.5190000000000001E-2</v>
      </c>
      <c r="O28">
        <v>25.19</v>
      </c>
      <c r="P28">
        <v>152.2951544</v>
      </c>
      <c r="Q28" t="s">
        <v>27</v>
      </c>
      <c r="S28">
        <v>74</v>
      </c>
      <c r="T28" t="s">
        <v>2</v>
      </c>
      <c r="U28" t="s">
        <v>25</v>
      </c>
      <c r="V28">
        <v>3836.3149400000002</v>
      </c>
      <c r="W28">
        <v>2.5190000000000001E-2</v>
      </c>
      <c r="X28">
        <v>25.19</v>
      </c>
      <c r="Y28">
        <v>152.2951544</v>
      </c>
    </row>
    <row r="29" spans="1:46" x14ac:dyDescent="0.2">
      <c r="A29">
        <v>80</v>
      </c>
      <c r="B29" t="s">
        <v>2</v>
      </c>
      <c r="C29" t="s">
        <v>35</v>
      </c>
      <c r="D29">
        <v>4388.5400399999999</v>
      </c>
      <c r="E29">
        <v>2.3870000000000502E-2</v>
      </c>
      <c r="F29">
        <f t="shared" si="0"/>
        <v>23.870000000000502</v>
      </c>
      <c r="G29">
        <f t="shared" si="1"/>
        <v>183.85169836614611</v>
      </c>
      <c r="H29" t="s">
        <v>27</v>
      </c>
      <c r="J29">
        <v>80</v>
      </c>
      <c r="K29" t="s">
        <v>2</v>
      </c>
      <c r="L29" t="s">
        <v>35</v>
      </c>
      <c r="M29">
        <v>4388.5400399999999</v>
      </c>
      <c r="N29">
        <v>2.3869999999999999E-2</v>
      </c>
      <c r="O29">
        <v>23.87</v>
      </c>
      <c r="P29">
        <v>183.8516984</v>
      </c>
      <c r="Q29" t="s">
        <v>27</v>
      </c>
      <c r="S29">
        <v>80</v>
      </c>
      <c r="T29" t="s">
        <v>2</v>
      </c>
      <c r="U29" t="s">
        <v>35</v>
      </c>
      <c r="V29">
        <v>4388.5400399999999</v>
      </c>
      <c r="W29">
        <v>2.3869999999999999E-2</v>
      </c>
      <c r="X29">
        <v>23.87</v>
      </c>
      <c r="Y29">
        <v>183.8516984</v>
      </c>
    </row>
    <row r="30" spans="1:46" x14ac:dyDescent="0.2">
      <c r="A30">
        <v>84</v>
      </c>
      <c r="B30" t="s">
        <v>3</v>
      </c>
      <c r="C30" t="s">
        <v>35</v>
      </c>
      <c r="D30">
        <v>3409.9631300000001</v>
      </c>
      <c r="E30">
        <v>2.2650000000000503E-2</v>
      </c>
      <c r="F30">
        <f t="shared" si="0"/>
        <v>22.650000000000503</v>
      </c>
      <c r="G30">
        <f t="shared" si="1"/>
        <v>150.55024856511807</v>
      </c>
      <c r="H30" t="s">
        <v>27</v>
      </c>
      <c r="J30">
        <v>84</v>
      </c>
      <c r="K30" t="s">
        <v>3</v>
      </c>
      <c r="L30" t="s">
        <v>35</v>
      </c>
      <c r="M30">
        <v>3409.9631300000001</v>
      </c>
      <c r="N30">
        <v>2.265E-2</v>
      </c>
      <c r="O30">
        <v>22.65</v>
      </c>
      <c r="P30">
        <v>150.5502486</v>
      </c>
      <c r="Q30" t="s">
        <v>27</v>
      </c>
      <c r="S30">
        <v>84</v>
      </c>
      <c r="T30" t="s">
        <v>3</v>
      </c>
      <c r="U30" t="s">
        <v>35</v>
      </c>
      <c r="V30">
        <v>3409.9631300000001</v>
      </c>
      <c r="W30">
        <v>2.265E-2</v>
      </c>
      <c r="X30">
        <v>22.65</v>
      </c>
      <c r="Y30">
        <v>150.5502486</v>
      </c>
      <c r="AB30" t="s">
        <v>198</v>
      </c>
      <c r="AO30" t="s">
        <v>164</v>
      </c>
    </row>
    <row r="31" spans="1:46" x14ac:dyDescent="0.2">
      <c r="A31">
        <v>91</v>
      </c>
      <c r="B31" t="s">
        <v>3</v>
      </c>
      <c r="C31" t="s">
        <v>29</v>
      </c>
      <c r="D31">
        <v>654.50811999999996</v>
      </c>
      <c r="E31">
        <v>1.7970000000000041E-2</v>
      </c>
      <c r="F31">
        <f t="shared" si="0"/>
        <v>17.970000000000041</v>
      </c>
      <c r="G31">
        <f t="shared" si="1"/>
        <v>36.422265998886949</v>
      </c>
      <c r="H31" t="s">
        <v>33</v>
      </c>
      <c r="J31">
        <v>91</v>
      </c>
      <c r="K31" t="s">
        <v>3</v>
      </c>
      <c r="L31" t="s">
        <v>29</v>
      </c>
      <c r="M31">
        <v>654.50811999999996</v>
      </c>
      <c r="N31">
        <v>1.797E-2</v>
      </c>
      <c r="O31">
        <v>17.97</v>
      </c>
      <c r="P31">
        <v>36.422266</v>
      </c>
      <c r="Q31" t="s">
        <v>33</v>
      </c>
      <c r="S31">
        <v>91</v>
      </c>
      <c r="T31" t="s">
        <v>3</v>
      </c>
      <c r="U31" t="s">
        <v>29</v>
      </c>
      <c r="V31">
        <v>654.50811999999996</v>
      </c>
      <c r="W31">
        <v>1.797E-2</v>
      </c>
      <c r="X31">
        <v>17.97</v>
      </c>
      <c r="Y31">
        <v>36.422266</v>
      </c>
    </row>
    <row r="32" spans="1:46" x14ac:dyDescent="0.2">
      <c r="A32">
        <v>93</v>
      </c>
      <c r="B32" t="s">
        <v>3</v>
      </c>
      <c r="C32" t="s">
        <v>35</v>
      </c>
      <c r="D32">
        <v>314.35759999999999</v>
      </c>
      <c r="E32">
        <v>2.1689999999999543E-2</v>
      </c>
      <c r="F32">
        <f t="shared" si="0"/>
        <v>21.689999999999543</v>
      </c>
      <c r="G32">
        <f t="shared" si="1"/>
        <v>14.493204241586289</v>
      </c>
      <c r="H32" t="s">
        <v>27</v>
      </c>
      <c r="J32">
        <v>93</v>
      </c>
      <c r="K32" t="s">
        <v>3</v>
      </c>
      <c r="L32" t="s">
        <v>35</v>
      </c>
      <c r="M32">
        <v>314.35759999999999</v>
      </c>
      <c r="N32">
        <v>2.1690000000000001E-2</v>
      </c>
      <c r="O32">
        <v>21.69</v>
      </c>
      <c r="P32">
        <v>14.493204240000001</v>
      </c>
      <c r="Q32" t="s">
        <v>27</v>
      </c>
      <c r="S32">
        <v>93</v>
      </c>
      <c r="T32" t="s">
        <v>3</v>
      </c>
      <c r="U32" t="s">
        <v>35</v>
      </c>
      <c r="V32">
        <v>314.35759999999999</v>
      </c>
      <c r="W32">
        <v>2.1690000000000001E-2</v>
      </c>
      <c r="X32">
        <v>21.69</v>
      </c>
      <c r="Y32">
        <v>14.493204240000001</v>
      </c>
      <c r="AB32" t="s">
        <v>199</v>
      </c>
      <c r="AC32" t="s">
        <v>114</v>
      </c>
      <c r="AD32" t="s">
        <v>200</v>
      </c>
    </row>
    <row r="33" spans="1:44" x14ac:dyDescent="0.2">
      <c r="A33">
        <v>96</v>
      </c>
      <c r="B33" t="s">
        <v>2</v>
      </c>
      <c r="C33" t="s">
        <v>35</v>
      </c>
      <c r="D33">
        <v>5810.5537100000001</v>
      </c>
      <c r="E33">
        <v>2.1659999999998902E-2</v>
      </c>
      <c r="F33">
        <f t="shared" si="0"/>
        <v>21.659999999998902</v>
      </c>
      <c r="G33">
        <f t="shared" si="1"/>
        <v>268.26194413667105</v>
      </c>
      <c r="H33" t="s">
        <v>27</v>
      </c>
      <c r="J33">
        <v>96</v>
      </c>
      <c r="K33" t="s">
        <v>2</v>
      </c>
      <c r="L33" t="s">
        <v>35</v>
      </c>
      <c r="M33">
        <v>5810.5537100000001</v>
      </c>
      <c r="N33">
        <v>2.1659999999999999E-2</v>
      </c>
      <c r="O33">
        <v>21.66</v>
      </c>
      <c r="P33">
        <v>268.26194409999999</v>
      </c>
      <c r="Q33" t="s">
        <v>27</v>
      </c>
      <c r="S33">
        <v>96</v>
      </c>
      <c r="T33" t="s">
        <v>2</v>
      </c>
      <c r="U33" t="s">
        <v>35</v>
      </c>
      <c r="V33">
        <v>5810.5537100000001</v>
      </c>
      <c r="W33">
        <v>2.1659999999999999E-2</v>
      </c>
      <c r="X33">
        <v>21.66</v>
      </c>
      <c r="Y33">
        <v>268.26194409999999</v>
      </c>
      <c r="AB33">
        <v>3.7000000000000002E-3</v>
      </c>
      <c r="AC33">
        <v>1</v>
      </c>
      <c r="AD33" s="23">
        <v>0.95120000000000005</v>
      </c>
      <c r="AO33" t="s">
        <v>165</v>
      </c>
    </row>
    <row r="34" spans="1:44" x14ac:dyDescent="0.2">
      <c r="A34">
        <v>99</v>
      </c>
      <c r="B34" t="s">
        <v>2</v>
      </c>
      <c r="C34" t="s">
        <v>29</v>
      </c>
      <c r="D34">
        <v>138.02970999999999</v>
      </c>
      <c r="E34">
        <v>2.1010000000000417E-2</v>
      </c>
      <c r="F34">
        <f t="shared" si="0"/>
        <v>21.010000000000417</v>
      </c>
      <c r="G34">
        <f t="shared" si="1"/>
        <v>6.5697148976676463</v>
      </c>
      <c r="H34" t="s">
        <v>27</v>
      </c>
      <c r="J34">
        <v>99</v>
      </c>
      <c r="K34" t="s">
        <v>2</v>
      </c>
      <c r="L34" t="s">
        <v>29</v>
      </c>
      <c r="M34">
        <v>138.02970999999999</v>
      </c>
      <c r="N34">
        <v>2.1010000000000001E-2</v>
      </c>
      <c r="O34">
        <v>21.01</v>
      </c>
      <c r="P34">
        <v>6.569714898</v>
      </c>
      <c r="Q34" t="s">
        <v>27</v>
      </c>
      <c r="S34">
        <v>99</v>
      </c>
      <c r="T34" t="s">
        <v>2</v>
      </c>
      <c r="U34" t="s">
        <v>29</v>
      </c>
      <c r="V34">
        <v>138.02970999999999</v>
      </c>
      <c r="W34">
        <v>2.1010000000000001E-2</v>
      </c>
      <c r="X34">
        <v>21.01</v>
      </c>
      <c r="Y34">
        <v>6.569714898</v>
      </c>
    </row>
    <row r="35" spans="1:44" x14ac:dyDescent="0.2">
      <c r="A35">
        <v>100</v>
      </c>
      <c r="B35" t="s">
        <v>3</v>
      </c>
      <c r="C35" t="s">
        <v>29</v>
      </c>
      <c r="D35">
        <v>9592.5859400000008</v>
      </c>
      <c r="E35">
        <v>1.8860000000000099E-2</v>
      </c>
      <c r="F35">
        <f t="shared" si="0"/>
        <v>18.860000000000099</v>
      </c>
      <c r="G35" s="23">
        <f t="shared" si="1"/>
        <v>508.62067550370892</v>
      </c>
      <c r="H35" t="s">
        <v>27</v>
      </c>
      <c r="J35">
        <v>100</v>
      </c>
      <c r="K35" t="s">
        <v>3</v>
      </c>
      <c r="L35" t="s">
        <v>29</v>
      </c>
      <c r="M35">
        <v>9592.5859400000008</v>
      </c>
      <c r="N35">
        <v>1.8859999999999998E-2</v>
      </c>
      <c r="O35">
        <v>18.86</v>
      </c>
      <c r="Q35" t="s">
        <v>27</v>
      </c>
      <c r="S35">
        <v>100</v>
      </c>
      <c r="T35" t="s">
        <v>3</v>
      </c>
      <c r="U35" t="s">
        <v>29</v>
      </c>
      <c r="V35">
        <v>9592.5859400000008</v>
      </c>
      <c r="W35">
        <v>1.8859999999999998E-2</v>
      </c>
      <c r="X35">
        <v>18.86</v>
      </c>
    </row>
    <row r="36" spans="1:44" x14ac:dyDescent="0.2">
      <c r="A36">
        <v>101</v>
      </c>
      <c r="B36" t="s">
        <v>3</v>
      </c>
      <c r="C36" t="s">
        <v>35</v>
      </c>
      <c r="D36">
        <v>2897.2810100000002</v>
      </c>
      <c r="E36">
        <v>2.1950000000000358E-2</v>
      </c>
      <c r="F36">
        <f t="shared" si="0"/>
        <v>21.950000000000358</v>
      </c>
      <c r="G36">
        <f t="shared" si="1"/>
        <v>131.99457904327804</v>
      </c>
      <c r="H36" t="s">
        <v>27</v>
      </c>
      <c r="J36">
        <v>101</v>
      </c>
      <c r="K36" t="s">
        <v>3</v>
      </c>
      <c r="L36" t="s">
        <v>35</v>
      </c>
      <c r="M36">
        <v>2897.2810100000002</v>
      </c>
      <c r="N36">
        <v>2.1950000000000001E-2</v>
      </c>
      <c r="O36">
        <v>21.95</v>
      </c>
      <c r="P36">
        <v>131.99457899999999</v>
      </c>
      <c r="Q36" t="s">
        <v>27</v>
      </c>
      <c r="S36">
        <v>101</v>
      </c>
      <c r="T36" t="s">
        <v>3</v>
      </c>
      <c r="U36" t="s">
        <v>35</v>
      </c>
      <c r="V36">
        <v>2897.2810100000002</v>
      </c>
      <c r="W36">
        <v>2.1950000000000001E-2</v>
      </c>
      <c r="X36">
        <v>21.95</v>
      </c>
      <c r="Y36">
        <v>131.99457899999999</v>
      </c>
      <c r="AO36" t="s">
        <v>166</v>
      </c>
    </row>
    <row r="37" spans="1:44" x14ac:dyDescent="0.2">
      <c r="A37">
        <v>102</v>
      </c>
      <c r="B37" t="s">
        <v>3</v>
      </c>
      <c r="C37" t="s">
        <v>25</v>
      </c>
      <c r="D37">
        <v>6327.1264600000004</v>
      </c>
      <c r="E37">
        <v>2.5120000000001141E-2</v>
      </c>
      <c r="F37">
        <f t="shared" si="0"/>
        <v>25.120000000001141</v>
      </c>
      <c r="G37">
        <f t="shared" si="1"/>
        <v>251.87605334393763</v>
      </c>
      <c r="H37" t="s">
        <v>33</v>
      </c>
      <c r="J37">
        <v>102</v>
      </c>
      <c r="K37" t="s">
        <v>3</v>
      </c>
      <c r="L37" t="s">
        <v>25</v>
      </c>
      <c r="M37">
        <v>6327.1264600000004</v>
      </c>
      <c r="N37">
        <v>2.512E-2</v>
      </c>
      <c r="O37">
        <v>25.12</v>
      </c>
      <c r="P37">
        <v>251.8760533</v>
      </c>
      <c r="Q37" t="s">
        <v>33</v>
      </c>
      <c r="S37">
        <v>102</v>
      </c>
      <c r="T37" t="s">
        <v>3</v>
      </c>
      <c r="U37" t="s">
        <v>25</v>
      </c>
      <c r="V37">
        <v>6327.1264600000004</v>
      </c>
      <c r="W37">
        <v>2.512E-2</v>
      </c>
      <c r="X37">
        <v>25.12</v>
      </c>
      <c r="Y37">
        <v>251.8760533</v>
      </c>
    </row>
    <row r="38" spans="1:44" x14ac:dyDescent="0.2">
      <c r="A38">
        <v>103</v>
      </c>
      <c r="B38" t="s">
        <v>2</v>
      </c>
      <c r="C38" t="s">
        <v>35</v>
      </c>
      <c r="D38">
        <v>2776.1347700000001</v>
      </c>
      <c r="E38">
        <v>2.5920000000001053E-2</v>
      </c>
      <c r="F38">
        <f t="shared" si="0"/>
        <v>25.920000000001053</v>
      </c>
      <c r="G38">
        <f t="shared" si="1"/>
        <v>107.10396489197096</v>
      </c>
      <c r="H38" t="s">
        <v>27</v>
      </c>
      <c r="J38">
        <v>103</v>
      </c>
      <c r="K38" t="s">
        <v>2</v>
      </c>
      <c r="L38" t="s">
        <v>35</v>
      </c>
      <c r="M38">
        <v>2776.1347700000001</v>
      </c>
      <c r="N38">
        <v>2.5919999999999999E-2</v>
      </c>
      <c r="O38">
        <v>25.92</v>
      </c>
      <c r="P38">
        <v>107.10396489999999</v>
      </c>
      <c r="Q38" t="s">
        <v>27</v>
      </c>
      <c r="S38">
        <v>103</v>
      </c>
      <c r="T38" t="s">
        <v>2</v>
      </c>
      <c r="U38" t="s">
        <v>35</v>
      </c>
      <c r="V38">
        <v>2776.1347700000001</v>
      </c>
      <c r="W38">
        <v>2.5919999999999999E-2</v>
      </c>
      <c r="X38">
        <v>25.92</v>
      </c>
      <c r="Y38">
        <v>107.10396489999999</v>
      </c>
      <c r="AB38" t="s">
        <v>207</v>
      </c>
      <c r="AO38" t="s">
        <v>167</v>
      </c>
      <c r="AP38" t="s">
        <v>168</v>
      </c>
    </row>
    <row r="39" spans="1:44" x14ac:dyDescent="0.2">
      <c r="A39">
        <v>105</v>
      </c>
      <c r="B39" t="s">
        <v>2</v>
      </c>
      <c r="C39" t="s">
        <v>29</v>
      </c>
      <c r="D39">
        <v>2711.1589399999998</v>
      </c>
      <c r="E39">
        <v>2.5079999999999103E-2</v>
      </c>
      <c r="F39">
        <f t="shared" si="0"/>
        <v>25.079999999999103</v>
      </c>
      <c r="G39">
        <f t="shared" si="1"/>
        <v>108.10043620415058</v>
      </c>
      <c r="H39" t="s">
        <v>33</v>
      </c>
      <c r="J39">
        <v>105</v>
      </c>
      <c r="K39" t="s">
        <v>2</v>
      </c>
      <c r="L39" t="s">
        <v>29</v>
      </c>
      <c r="M39">
        <v>2711.1589399999998</v>
      </c>
      <c r="N39">
        <v>2.5080000000000002E-2</v>
      </c>
      <c r="O39">
        <v>25.08</v>
      </c>
      <c r="P39">
        <v>108.1004362</v>
      </c>
      <c r="Q39" t="s">
        <v>33</v>
      </c>
      <c r="S39">
        <v>105</v>
      </c>
      <c r="T39" t="s">
        <v>2</v>
      </c>
      <c r="U39" t="s">
        <v>29</v>
      </c>
      <c r="V39">
        <v>2711.1589399999998</v>
      </c>
      <c r="W39">
        <v>2.5080000000000002E-2</v>
      </c>
      <c r="X39">
        <v>25.08</v>
      </c>
      <c r="Y39">
        <v>108.1004362</v>
      </c>
      <c r="AO39">
        <v>2.36591</v>
      </c>
      <c r="AP39">
        <v>0.05</v>
      </c>
    </row>
    <row r="40" spans="1:44" x14ac:dyDescent="0.2">
      <c r="A40">
        <v>111</v>
      </c>
      <c r="B40" t="s">
        <v>2</v>
      </c>
      <c r="C40" t="s">
        <v>25</v>
      </c>
      <c r="D40">
        <v>6390.0664100000004</v>
      </c>
      <c r="E40">
        <v>2.426999999999957E-2</v>
      </c>
      <c r="F40">
        <f t="shared" si="0"/>
        <v>24.26999999999957</v>
      </c>
      <c r="G40">
        <f t="shared" si="1"/>
        <v>263.29074618871505</v>
      </c>
      <c r="H40" t="s">
        <v>33</v>
      </c>
      <c r="J40">
        <v>111</v>
      </c>
      <c r="K40" t="s">
        <v>2</v>
      </c>
      <c r="L40" t="s">
        <v>25</v>
      </c>
      <c r="M40">
        <v>6390.0664100000004</v>
      </c>
      <c r="N40">
        <v>2.427E-2</v>
      </c>
      <c r="O40">
        <v>24.27</v>
      </c>
      <c r="P40">
        <v>263.2907462</v>
      </c>
      <c r="Q40" t="s">
        <v>33</v>
      </c>
      <c r="S40">
        <v>111</v>
      </c>
      <c r="T40" t="s">
        <v>2</v>
      </c>
      <c r="U40" t="s">
        <v>25</v>
      </c>
      <c r="V40">
        <v>6390.0664100000004</v>
      </c>
      <c r="W40">
        <v>2.427E-2</v>
      </c>
      <c r="X40">
        <v>24.27</v>
      </c>
      <c r="Y40">
        <v>263.2907462</v>
      </c>
    </row>
    <row r="41" spans="1:44" x14ac:dyDescent="0.2">
      <c r="A41">
        <v>113</v>
      </c>
      <c r="B41" t="s">
        <v>3</v>
      </c>
      <c r="C41" t="s">
        <v>29</v>
      </c>
      <c r="D41">
        <v>1555.4023400000001</v>
      </c>
      <c r="E41">
        <v>1.8169999999999575E-2</v>
      </c>
      <c r="F41">
        <f t="shared" si="0"/>
        <v>18.169999999999575</v>
      </c>
      <c r="G41">
        <f t="shared" si="1"/>
        <v>85.602770500827546</v>
      </c>
      <c r="H41" t="s">
        <v>27</v>
      </c>
      <c r="J41">
        <v>113</v>
      </c>
      <c r="K41" t="s">
        <v>3</v>
      </c>
      <c r="L41" t="s">
        <v>29</v>
      </c>
      <c r="M41">
        <v>1555.4023400000001</v>
      </c>
      <c r="N41">
        <v>1.8169999999999999E-2</v>
      </c>
      <c r="O41">
        <v>18.170000000000002</v>
      </c>
      <c r="P41">
        <v>85.602770500000005</v>
      </c>
      <c r="Q41" t="s">
        <v>27</v>
      </c>
      <c r="S41">
        <v>113</v>
      </c>
      <c r="T41" t="s">
        <v>3</v>
      </c>
      <c r="U41" t="s">
        <v>29</v>
      </c>
      <c r="V41">
        <v>1555.4023400000001</v>
      </c>
      <c r="W41">
        <v>1.8169999999999999E-2</v>
      </c>
      <c r="X41">
        <v>18.170000000000002</v>
      </c>
      <c r="Y41">
        <v>85.602770500000005</v>
      </c>
    </row>
    <row r="42" spans="1:44" x14ac:dyDescent="0.2">
      <c r="A42">
        <v>120</v>
      </c>
      <c r="B42" t="s">
        <v>3</v>
      </c>
      <c r="C42" t="s">
        <v>25</v>
      </c>
      <c r="D42">
        <v>2868.6872600000002</v>
      </c>
      <c r="E42">
        <v>2.2030000000000882E-2</v>
      </c>
      <c r="F42">
        <f t="shared" si="0"/>
        <v>22.030000000000882</v>
      </c>
      <c r="G42">
        <f t="shared" si="1"/>
        <v>130.21730640035793</v>
      </c>
      <c r="H42" t="s">
        <v>33</v>
      </c>
      <c r="J42">
        <v>120</v>
      </c>
      <c r="K42" t="s">
        <v>3</v>
      </c>
      <c r="L42" t="s">
        <v>25</v>
      </c>
      <c r="M42">
        <v>2868.6872600000002</v>
      </c>
      <c r="N42">
        <v>2.2030000000000001E-2</v>
      </c>
      <c r="O42">
        <v>22.03</v>
      </c>
      <c r="P42">
        <v>130.21730640000001</v>
      </c>
      <c r="Q42" t="s">
        <v>33</v>
      </c>
      <c r="S42">
        <v>120</v>
      </c>
      <c r="T42" t="s">
        <v>3</v>
      </c>
      <c r="U42" t="s">
        <v>25</v>
      </c>
      <c r="V42">
        <v>2868.6872600000002</v>
      </c>
      <c r="W42">
        <v>2.2030000000000001E-2</v>
      </c>
      <c r="X42">
        <v>22.03</v>
      </c>
      <c r="Y42">
        <v>130.21730640000001</v>
      </c>
    </row>
    <row r="43" spans="1:44" x14ac:dyDescent="0.2">
      <c r="A43">
        <v>121</v>
      </c>
      <c r="B43" t="s">
        <v>3</v>
      </c>
      <c r="C43" t="s">
        <v>25</v>
      </c>
      <c r="D43">
        <v>6812.8584000000001</v>
      </c>
      <c r="E43">
        <v>2.0490000000000563E-2</v>
      </c>
      <c r="F43">
        <f t="shared" si="0"/>
        <v>20.490000000000563</v>
      </c>
      <c r="G43">
        <f t="shared" si="1"/>
        <v>332.49674963395864</v>
      </c>
      <c r="H43" t="s">
        <v>33</v>
      </c>
      <c r="J43">
        <v>121</v>
      </c>
      <c r="K43" t="s">
        <v>3</v>
      </c>
      <c r="L43" t="s">
        <v>25</v>
      </c>
      <c r="M43">
        <v>6812.8584000000001</v>
      </c>
      <c r="N43">
        <v>2.0490000000000001E-2</v>
      </c>
      <c r="O43">
        <v>20.49</v>
      </c>
      <c r="P43">
        <v>332.49674959999999</v>
      </c>
      <c r="Q43" t="s">
        <v>33</v>
      </c>
      <c r="S43">
        <v>121</v>
      </c>
      <c r="T43" t="s">
        <v>3</v>
      </c>
      <c r="U43" t="s">
        <v>25</v>
      </c>
      <c r="V43">
        <v>6812.8584000000001</v>
      </c>
      <c r="W43">
        <v>2.0490000000000001E-2</v>
      </c>
      <c r="X43">
        <v>20.49</v>
      </c>
      <c r="Y43">
        <v>332.49674959999999</v>
      </c>
      <c r="AB43" t="s">
        <v>193</v>
      </c>
    </row>
    <row r="44" spans="1:44" x14ac:dyDescent="0.2">
      <c r="A44">
        <v>122</v>
      </c>
      <c r="B44" t="s">
        <v>3</v>
      </c>
      <c r="C44" t="s">
        <v>29</v>
      </c>
      <c r="D44">
        <v>2125.6936000000001</v>
      </c>
      <c r="E44">
        <v>1.9090000000000273E-2</v>
      </c>
      <c r="F44">
        <f t="shared" si="0"/>
        <v>19.090000000000273</v>
      </c>
      <c r="G44">
        <f t="shared" si="1"/>
        <v>111.35115767417336</v>
      </c>
      <c r="H44" t="s">
        <v>33</v>
      </c>
      <c r="J44">
        <v>122</v>
      </c>
      <c r="K44" t="s">
        <v>3</v>
      </c>
      <c r="L44" t="s">
        <v>29</v>
      </c>
      <c r="M44">
        <v>2125.6936000000001</v>
      </c>
      <c r="N44">
        <v>1.9089999999999999E-2</v>
      </c>
      <c r="O44">
        <v>19.09</v>
      </c>
      <c r="P44">
        <v>111.3511577</v>
      </c>
      <c r="Q44" t="s">
        <v>33</v>
      </c>
      <c r="S44">
        <v>122</v>
      </c>
      <c r="T44" t="s">
        <v>3</v>
      </c>
      <c r="U44" t="s">
        <v>29</v>
      </c>
      <c r="V44">
        <v>2125.6936000000001</v>
      </c>
      <c r="W44">
        <v>1.9089999999999999E-2</v>
      </c>
      <c r="X44">
        <v>19.09</v>
      </c>
      <c r="Y44">
        <v>111.3511577</v>
      </c>
      <c r="AO44" t="s">
        <v>169</v>
      </c>
    </row>
    <row r="45" spans="1:44" x14ac:dyDescent="0.2">
      <c r="A45">
        <v>126</v>
      </c>
      <c r="B45" t="s">
        <v>3</v>
      </c>
      <c r="C45" t="s">
        <v>25</v>
      </c>
      <c r="D45">
        <v>4147.4008800000001</v>
      </c>
      <c r="E45">
        <v>1.4190000000001035E-2</v>
      </c>
      <c r="F45">
        <f t="shared" si="0"/>
        <v>14.190000000001035</v>
      </c>
      <c r="G45">
        <f t="shared" si="1"/>
        <v>292.27631289638458</v>
      </c>
      <c r="H45" t="s">
        <v>27</v>
      </c>
      <c r="J45">
        <v>126</v>
      </c>
      <c r="K45" t="s">
        <v>3</v>
      </c>
      <c r="L45" t="s">
        <v>25</v>
      </c>
      <c r="M45">
        <v>4147.4008800000001</v>
      </c>
      <c r="N45">
        <v>1.4189999999999999E-2</v>
      </c>
      <c r="O45">
        <v>14.19</v>
      </c>
      <c r="P45">
        <v>292.27631289999999</v>
      </c>
      <c r="Q45" t="s">
        <v>27</v>
      </c>
      <c r="S45">
        <v>126</v>
      </c>
      <c r="T45" t="s">
        <v>3</v>
      </c>
      <c r="U45" t="s">
        <v>25</v>
      </c>
      <c r="V45">
        <v>4147.4008800000001</v>
      </c>
      <c r="W45">
        <v>1.4189999999999999E-2</v>
      </c>
      <c r="X45">
        <v>14.19</v>
      </c>
      <c r="Y45">
        <v>292.27631289999999</v>
      </c>
      <c r="AB45" t="s">
        <v>158</v>
      </c>
      <c r="AC45" t="s">
        <v>82</v>
      </c>
      <c r="AD45" t="s">
        <v>194</v>
      </c>
      <c r="AE45" t="s">
        <v>195</v>
      </c>
      <c r="AF45" t="s">
        <v>196</v>
      </c>
      <c r="AG45" t="s">
        <v>197</v>
      </c>
      <c r="AO45" t="s">
        <v>170</v>
      </c>
    </row>
    <row r="46" spans="1:44" x14ac:dyDescent="0.2">
      <c r="A46">
        <v>128</v>
      </c>
      <c r="B46" t="s">
        <v>2</v>
      </c>
      <c r="C46" t="s">
        <v>25</v>
      </c>
      <c r="D46">
        <v>2085.70435</v>
      </c>
      <c r="E46">
        <v>2.1290000000000475E-2</v>
      </c>
      <c r="F46">
        <f t="shared" si="0"/>
        <v>21.290000000000475</v>
      </c>
      <c r="G46">
        <f t="shared" si="1"/>
        <v>97.966385627052773</v>
      </c>
      <c r="H46" t="s">
        <v>33</v>
      </c>
      <c r="J46">
        <v>128</v>
      </c>
      <c r="K46" t="s">
        <v>2</v>
      </c>
      <c r="L46" t="s">
        <v>25</v>
      </c>
      <c r="M46">
        <v>2085.70435</v>
      </c>
      <c r="N46">
        <v>2.129E-2</v>
      </c>
      <c r="O46">
        <v>21.29</v>
      </c>
      <c r="P46">
        <v>97.966385630000005</v>
      </c>
      <c r="Q46" t="s">
        <v>33</v>
      </c>
      <c r="S46">
        <v>128</v>
      </c>
      <c r="T46" t="s">
        <v>2</v>
      </c>
      <c r="U46" t="s">
        <v>25</v>
      </c>
      <c r="V46">
        <v>2085.70435</v>
      </c>
      <c r="W46">
        <v>2.129E-2</v>
      </c>
      <c r="X46">
        <v>21.29</v>
      </c>
      <c r="Y46">
        <v>97.966385630000005</v>
      </c>
      <c r="AB46" t="s">
        <v>2</v>
      </c>
      <c r="AC46">
        <v>23</v>
      </c>
      <c r="AD46">
        <v>602</v>
      </c>
      <c r="AE46">
        <v>575</v>
      </c>
      <c r="AF46">
        <v>26.1739</v>
      </c>
      <c r="AG46">
        <v>0.53100000000000003</v>
      </c>
      <c r="AP46" t="s">
        <v>25</v>
      </c>
      <c r="AQ46" t="s">
        <v>35</v>
      </c>
      <c r="AR46" t="s">
        <v>29</v>
      </c>
    </row>
    <row r="47" spans="1:44" x14ac:dyDescent="0.2">
      <c r="A47">
        <v>130</v>
      </c>
      <c r="B47" t="s">
        <v>2</v>
      </c>
      <c r="C47" t="s">
        <v>25</v>
      </c>
      <c r="D47">
        <v>733.86066000000005</v>
      </c>
      <c r="E47">
        <v>2.055999999999969E-2</v>
      </c>
      <c r="F47">
        <f t="shared" si="0"/>
        <v>20.55999999999969</v>
      </c>
      <c r="G47">
        <f t="shared" si="1"/>
        <v>35.693611867704824</v>
      </c>
      <c r="H47" t="s">
        <v>33</v>
      </c>
      <c r="J47">
        <v>130</v>
      </c>
      <c r="K47" t="s">
        <v>2</v>
      </c>
      <c r="L47" t="s">
        <v>25</v>
      </c>
      <c r="M47">
        <v>733.86066000000005</v>
      </c>
      <c r="N47">
        <v>2.0559999999999998E-2</v>
      </c>
      <c r="O47">
        <v>20.56</v>
      </c>
      <c r="P47">
        <v>35.693611869999998</v>
      </c>
      <c r="Q47" t="s">
        <v>33</v>
      </c>
      <c r="S47">
        <v>130</v>
      </c>
      <c r="T47" t="s">
        <v>2</v>
      </c>
      <c r="U47" t="s">
        <v>25</v>
      </c>
      <c r="V47">
        <v>733.86066000000005</v>
      </c>
      <c r="W47">
        <v>2.0559999999999998E-2</v>
      </c>
      <c r="X47">
        <v>20.56</v>
      </c>
      <c r="Y47">
        <v>35.693611869999998</v>
      </c>
      <c r="AB47" t="s">
        <v>3</v>
      </c>
      <c r="AC47">
        <v>26</v>
      </c>
      <c r="AD47">
        <v>623</v>
      </c>
      <c r="AE47">
        <v>650</v>
      </c>
      <c r="AF47">
        <v>23.961500000000001</v>
      </c>
      <c r="AG47">
        <v>-0.53100000000000003</v>
      </c>
      <c r="AO47" t="s">
        <v>25</v>
      </c>
      <c r="AP47">
        <v>-50.017000000000003</v>
      </c>
      <c r="AQ47">
        <v>-32.587000000000003</v>
      </c>
      <c r="AR47">
        <v>3.7999999999999999E-2</v>
      </c>
    </row>
    <row r="48" spans="1:44" x14ac:dyDescent="0.2">
      <c r="A48">
        <v>131</v>
      </c>
      <c r="B48" t="s">
        <v>2</v>
      </c>
      <c r="C48" t="s">
        <v>25</v>
      </c>
      <c r="D48">
        <v>1105.3720699999999</v>
      </c>
      <c r="E48">
        <v>2.1649999999999281E-2</v>
      </c>
      <c r="F48">
        <f t="shared" si="0"/>
        <v>21.649999999999281</v>
      </c>
      <c r="G48">
        <f t="shared" si="1"/>
        <v>51.056446651271898</v>
      </c>
      <c r="H48" t="s">
        <v>27</v>
      </c>
      <c r="J48">
        <v>131</v>
      </c>
      <c r="K48" t="s">
        <v>2</v>
      </c>
      <c r="L48" t="s">
        <v>25</v>
      </c>
      <c r="M48">
        <v>1105.3720699999999</v>
      </c>
      <c r="N48">
        <v>2.1649999999999999E-2</v>
      </c>
      <c r="O48">
        <v>21.65</v>
      </c>
      <c r="P48">
        <v>51.056446649999998</v>
      </c>
      <c r="Q48" t="s">
        <v>27</v>
      </c>
      <c r="S48">
        <v>131</v>
      </c>
      <c r="T48" t="s">
        <v>2</v>
      </c>
      <c r="U48" t="s">
        <v>25</v>
      </c>
      <c r="V48">
        <v>1105.3720699999999</v>
      </c>
      <c r="W48">
        <v>2.1649999999999999E-2</v>
      </c>
      <c r="X48">
        <v>21.65</v>
      </c>
      <c r="Y48">
        <v>51.056446649999998</v>
      </c>
      <c r="AO48" t="s">
        <v>35</v>
      </c>
      <c r="AP48">
        <v>-32.587000000000003</v>
      </c>
      <c r="AQ48">
        <v>-49.514000000000003</v>
      </c>
      <c r="AR48">
        <v>-16.875</v>
      </c>
    </row>
    <row r="49" spans="1:48" x14ac:dyDescent="0.2">
      <c r="A49">
        <v>132</v>
      </c>
      <c r="B49" t="s">
        <v>2</v>
      </c>
      <c r="C49" t="s">
        <v>25</v>
      </c>
      <c r="D49">
        <v>5643.8579099999997</v>
      </c>
      <c r="E49">
        <v>1.9770000000001176E-2</v>
      </c>
      <c r="F49">
        <f t="shared" si="0"/>
        <v>19.770000000001176</v>
      </c>
      <c r="G49">
        <f t="shared" si="1"/>
        <v>285.4758679817736</v>
      </c>
      <c r="H49" t="s">
        <v>27</v>
      </c>
      <c r="J49">
        <v>132</v>
      </c>
      <c r="K49" t="s">
        <v>2</v>
      </c>
      <c r="L49" t="s">
        <v>25</v>
      </c>
      <c r="M49">
        <v>5643.8579099999997</v>
      </c>
      <c r="N49">
        <v>1.9769999999999999E-2</v>
      </c>
      <c r="O49">
        <v>19.77</v>
      </c>
      <c r="P49">
        <v>285.47586799999999</v>
      </c>
      <c r="Q49" t="s">
        <v>27</v>
      </c>
      <c r="S49">
        <v>132</v>
      </c>
      <c r="T49" t="s">
        <v>2</v>
      </c>
      <c r="U49" t="s">
        <v>25</v>
      </c>
      <c r="V49">
        <v>5643.8579099999997</v>
      </c>
      <c r="W49">
        <v>1.9769999999999999E-2</v>
      </c>
      <c r="X49">
        <v>19.77</v>
      </c>
      <c r="Y49">
        <v>285.47586799999999</v>
      </c>
      <c r="AO49" t="s">
        <v>29</v>
      </c>
      <c r="AP49">
        <v>3.7999999999999999E-2</v>
      </c>
      <c r="AQ49">
        <v>-16.875</v>
      </c>
      <c r="AR49">
        <v>-44.110999999999997</v>
      </c>
    </row>
    <row r="50" spans="1:48" x14ac:dyDescent="0.2">
      <c r="A50">
        <v>135</v>
      </c>
      <c r="B50" t="s">
        <v>3</v>
      </c>
      <c r="C50" t="s">
        <v>35</v>
      </c>
      <c r="D50">
        <v>5767.4150399999999</v>
      </c>
      <c r="E50">
        <v>1.9349999999999312E-2</v>
      </c>
      <c r="F50">
        <f t="shared" si="0"/>
        <v>19.349999999999312</v>
      </c>
      <c r="G50">
        <f t="shared" si="1"/>
        <v>298.05762480621212</v>
      </c>
      <c r="H50" t="s">
        <v>27</v>
      </c>
      <c r="J50">
        <v>135</v>
      </c>
      <c r="K50" t="s">
        <v>3</v>
      </c>
      <c r="L50" t="s">
        <v>35</v>
      </c>
      <c r="M50">
        <v>5767.4150399999999</v>
      </c>
      <c r="N50">
        <v>1.9349999999999999E-2</v>
      </c>
      <c r="O50">
        <v>19.350000000000001</v>
      </c>
      <c r="P50">
        <v>298.05762479999999</v>
      </c>
      <c r="Q50" t="s">
        <v>27</v>
      </c>
      <c r="S50">
        <v>135</v>
      </c>
      <c r="T50" t="s">
        <v>3</v>
      </c>
      <c r="U50" t="s">
        <v>35</v>
      </c>
      <c r="V50">
        <v>5767.4150399999999</v>
      </c>
      <c r="W50">
        <v>1.9349999999999999E-2</v>
      </c>
      <c r="X50">
        <v>19.350000000000001</v>
      </c>
      <c r="Y50">
        <v>298.05762479999999</v>
      </c>
    </row>
    <row r="51" spans="1:48" x14ac:dyDescent="0.2">
      <c r="A51">
        <v>138</v>
      </c>
      <c r="B51" t="s">
        <v>3</v>
      </c>
      <c r="C51" t="s">
        <v>35</v>
      </c>
      <c r="D51">
        <v>5535.2690400000001</v>
      </c>
      <c r="E51">
        <v>2.2649999999998727E-2</v>
      </c>
      <c r="F51">
        <f t="shared" si="0"/>
        <v>22.649999999998727</v>
      </c>
      <c r="G51">
        <f t="shared" si="1"/>
        <v>244.38273907286143</v>
      </c>
      <c r="H51" t="s">
        <v>27</v>
      </c>
      <c r="J51">
        <v>138</v>
      </c>
      <c r="K51" t="s">
        <v>3</v>
      </c>
      <c r="L51" t="s">
        <v>35</v>
      </c>
      <c r="M51">
        <v>5535.2690400000001</v>
      </c>
      <c r="N51">
        <v>2.265E-2</v>
      </c>
      <c r="O51">
        <v>22.65</v>
      </c>
      <c r="P51">
        <v>244.38273910000001</v>
      </c>
      <c r="Q51" t="s">
        <v>27</v>
      </c>
      <c r="S51">
        <v>138</v>
      </c>
      <c r="T51" t="s">
        <v>3</v>
      </c>
      <c r="U51" t="s">
        <v>35</v>
      </c>
      <c r="V51">
        <v>5535.2690400000001</v>
      </c>
      <c r="W51">
        <v>2.265E-2</v>
      </c>
      <c r="X51">
        <v>22.65</v>
      </c>
      <c r="Y51">
        <v>244.38273910000001</v>
      </c>
    </row>
    <row r="52" spans="1:48" x14ac:dyDescent="0.2">
      <c r="A52">
        <v>141</v>
      </c>
      <c r="B52" t="s">
        <v>2</v>
      </c>
      <c r="C52" t="s">
        <v>29</v>
      </c>
      <c r="D52">
        <v>2633.8002900000001</v>
      </c>
      <c r="E52">
        <v>1.807999999999943E-2</v>
      </c>
      <c r="F52">
        <f t="shared" si="0"/>
        <v>18.07999999999943</v>
      </c>
      <c r="G52">
        <f t="shared" si="1"/>
        <v>145.67479480088954</v>
      </c>
      <c r="H52" t="s">
        <v>33</v>
      </c>
      <c r="J52">
        <v>141</v>
      </c>
      <c r="K52" t="s">
        <v>2</v>
      </c>
      <c r="L52" t="s">
        <v>29</v>
      </c>
      <c r="M52">
        <v>2633.8002900000001</v>
      </c>
      <c r="N52">
        <v>1.8079999999999999E-2</v>
      </c>
      <c r="O52">
        <v>18.079999999999998</v>
      </c>
      <c r="P52">
        <v>145.6747948</v>
      </c>
      <c r="Q52" t="s">
        <v>33</v>
      </c>
      <c r="S52">
        <v>141</v>
      </c>
      <c r="T52" t="s">
        <v>2</v>
      </c>
      <c r="U52" t="s">
        <v>29</v>
      </c>
      <c r="V52">
        <v>2633.8002900000001</v>
      </c>
      <c r="W52">
        <v>1.8079999999999999E-2</v>
      </c>
      <c r="X52">
        <v>18.079999999999998</v>
      </c>
      <c r="Y52">
        <v>145.6747948</v>
      </c>
      <c r="AB52" t="s">
        <v>203</v>
      </c>
      <c r="AO52" t="s">
        <v>171</v>
      </c>
    </row>
    <row r="53" spans="1:48" x14ac:dyDescent="0.2">
      <c r="A53">
        <v>147</v>
      </c>
      <c r="B53" t="s">
        <v>2</v>
      </c>
      <c r="C53" t="s">
        <v>29</v>
      </c>
      <c r="D53">
        <v>1377.9853499999999</v>
      </c>
      <c r="E53">
        <v>2.0699999999999719E-2</v>
      </c>
      <c r="F53">
        <f t="shared" si="0"/>
        <v>20.699999999999719</v>
      </c>
      <c r="G53">
        <f t="shared" si="1"/>
        <v>66.569340579711053</v>
      </c>
      <c r="H53" t="s">
        <v>33</v>
      </c>
      <c r="J53">
        <v>147</v>
      </c>
      <c r="K53" t="s">
        <v>2</v>
      </c>
      <c r="L53" t="s">
        <v>29</v>
      </c>
      <c r="M53">
        <v>1377.9853499999999</v>
      </c>
      <c r="N53">
        <v>2.07E-2</v>
      </c>
      <c r="O53">
        <v>20.7</v>
      </c>
      <c r="P53">
        <v>66.569340580000002</v>
      </c>
      <c r="Q53" t="s">
        <v>33</v>
      </c>
      <c r="S53">
        <v>147</v>
      </c>
      <c r="T53" t="s">
        <v>2</v>
      </c>
      <c r="U53" t="s">
        <v>29</v>
      </c>
      <c r="V53">
        <v>1377.9853499999999</v>
      </c>
      <c r="W53">
        <v>2.07E-2</v>
      </c>
      <c r="X53">
        <v>20.7</v>
      </c>
      <c r="Y53">
        <v>66.569340580000002</v>
      </c>
    </row>
    <row r="54" spans="1:48" x14ac:dyDescent="0.2">
      <c r="A54">
        <v>150</v>
      </c>
      <c r="B54" t="s">
        <v>2</v>
      </c>
      <c r="C54" t="s">
        <v>25</v>
      </c>
      <c r="D54">
        <v>4235.0678699999999</v>
      </c>
      <c r="E54">
        <v>2.210999999999963E-2</v>
      </c>
      <c r="F54">
        <f t="shared" si="0"/>
        <v>22.10999999999963</v>
      </c>
      <c r="G54">
        <f t="shared" si="1"/>
        <v>191.54535820895842</v>
      </c>
      <c r="H54" t="s">
        <v>33</v>
      </c>
      <c r="J54">
        <v>150</v>
      </c>
      <c r="K54" t="s">
        <v>2</v>
      </c>
      <c r="L54" t="s">
        <v>25</v>
      </c>
      <c r="M54">
        <v>4235.0678699999999</v>
      </c>
      <c r="N54">
        <v>2.2110000000000001E-2</v>
      </c>
      <c r="O54">
        <v>22.11</v>
      </c>
      <c r="P54">
        <v>191.54535820000001</v>
      </c>
      <c r="Q54" t="s">
        <v>33</v>
      </c>
      <c r="S54">
        <v>150</v>
      </c>
      <c r="T54" t="s">
        <v>2</v>
      </c>
      <c r="U54" t="s">
        <v>25</v>
      </c>
      <c r="V54">
        <v>4235.0678699999999</v>
      </c>
      <c r="W54">
        <v>2.2110000000000001E-2</v>
      </c>
      <c r="X54">
        <v>22.11</v>
      </c>
      <c r="Y54">
        <v>191.54535820000001</v>
      </c>
      <c r="AB54" t="s">
        <v>204</v>
      </c>
      <c r="AC54" t="s">
        <v>205</v>
      </c>
      <c r="AD54" t="s">
        <v>206</v>
      </c>
    </row>
    <row r="55" spans="1:48" x14ac:dyDescent="0.2">
      <c r="A55">
        <v>157</v>
      </c>
      <c r="B55" t="s">
        <v>3</v>
      </c>
      <c r="C55" t="s">
        <v>35</v>
      </c>
      <c r="D55">
        <v>4771.4907199999998</v>
      </c>
      <c r="E55">
        <v>2.2850000000000037E-2</v>
      </c>
      <c r="F55">
        <f t="shared" si="0"/>
        <v>22.850000000000037</v>
      </c>
      <c r="G55">
        <f t="shared" si="1"/>
        <v>208.81797461706748</v>
      </c>
      <c r="H55" t="s">
        <v>27</v>
      </c>
      <c r="J55">
        <v>157</v>
      </c>
      <c r="K55" t="s">
        <v>3</v>
      </c>
      <c r="L55" t="s">
        <v>35</v>
      </c>
      <c r="M55">
        <v>4771.4907199999998</v>
      </c>
      <c r="N55">
        <v>2.2849999999999999E-2</v>
      </c>
      <c r="O55">
        <v>22.85</v>
      </c>
      <c r="P55">
        <v>208.81797460000001</v>
      </c>
      <c r="Q55" t="s">
        <v>27</v>
      </c>
      <c r="S55">
        <v>157</v>
      </c>
      <c r="T55" t="s">
        <v>3</v>
      </c>
      <c r="U55" t="s">
        <v>35</v>
      </c>
      <c r="V55">
        <v>4771.4907199999998</v>
      </c>
      <c r="W55">
        <v>2.2849999999999999E-2</v>
      </c>
      <c r="X55">
        <v>22.85</v>
      </c>
      <c r="Y55">
        <v>208.81797460000001</v>
      </c>
      <c r="AB55">
        <v>602</v>
      </c>
      <c r="AC55">
        <v>0.53088999999999997</v>
      </c>
      <c r="AD55">
        <v>0.59550000000000003</v>
      </c>
    </row>
    <row r="56" spans="1:48" x14ac:dyDescent="0.2">
      <c r="A56">
        <v>158</v>
      </c>
      <c r="B56" t="s">
        <v>3</v>
      </c>
      <c r="C56" t="s">
        <v>29</v>
      </c>
      <c r="D56">
        <v>3433.3754899999999</v>
      </c>
      <c r="E56">
        <v>1.9059999999999633E-2</v>
      </c>
      <c r="F56">
        <f t="shared" si="0"/>
        <v>19.059999999999633</v>
      </c>
      <c r="G56">
        <f t="shared" si="1"/>
        <v>180.1351253934977</v>
      </c>
      <c r="H56" t="s">
        <v>27</v>
      </c>
      <c r="J56">
        <v>158</v>
      </c>
      <c r="K56" t="s">
        <v>3</v>
      </c>
      <c r="L56" t="s">
        <v>29</v>
      </c>
      <c r="M56">
        <v>3433.3754899999999</v>
      </c>
      <c r="N56">
        <v>1.9060000000000001E-2</v>
      </c>
      <c r="O56">
        <v>19.059999999999999</v>
      </c>
      <c r="P56">
        <v>180.13512539999999</v>
      </c>
      <c r="Q56" t="s">
        <v>27</v>
      </c>
      <c r="S56">
        <v>158</v>
      </c>
      <c r="T56" t="s">
        <v>3</v>
      </c>
      <c r="U56" t="s">
        <v>29</v>
      </c>
      <c r="V56">
        <v>3433.3754899999999</v>
      </c>
      <c r="W56">
        <v>1.9060000000000001E-2</v>
      </c>
      <c r="X56">
        <v>19.059999999999999</v>
      </c>
      <c r="Y56">
        <v>180.13512539999999</v>
      </c>
      <c r="AO56" t="s">
        <v>172</v>
      </c>
    </row>
    <row r="57" spans="1:48" x14ac:dyDescent="0.2">
      <c r="A57">
        <v>159</v>
      </c>
      <c r="B57" t="s">
        <v>2</v>
      </c>
      <c r="C57" t="s">
        <v>29</v>
      </c>
      <c r="D57">
        <v>4236.3339800000003</v>
      </c>
      <c r="E57">
        <v>2.5639999999999219E-2</v>
      </c>
      <c r="F57">
        <f t="shared" si="0"/>
        <v>25.639999999999219</v>
      </c>
      <c r="G57">
        <f t="shared" si="1"/>
        <v>165.22363416537166</v>
      </c>
      <c r="H57" t="s">
        <v>27</v>
      </c>
      <c r="J57">
        <v>159</v>
      </c>
      <c r="K57" t="s">
        <v>2</v>
      </c>
      <c r="L57" t="s">
        <v>29</v>
      </c>
      <c r="M57">
        <v>4236.3339800000003</v>
      </c>
      <c r="N57">
        <v>2.564E-2</v>
      </c>
      <c r="O57">
        <v>25.64</v>
      </c>
      <c r="P57">
        <v>165.22363419999999</v>
      </c>
      <c r="Q57" t="s">
        <v>27</v>
      </c>
      <c r="S57">
        <v>159</v>
      </c>
      <c r="T57" t="s">
        <v>2</v>
      </c>
      <c r="U57" t="s">
        <v>29</v>
      </c>
      <c r="V57">
        <v>4236.3339800000003</v>
      </c>
      <c r="W57">
        <v>2.564E-2</v>
      </c>
      <c r="X57">
        <v>25.64</v>
      </c>
      <c r="Y57">
        <v>165.22363419999999</v>
      </c>
    </row>
    <row r="58" spans="1:48" x14ac:dyDescent="0.2">
      <c r="A58">
        <v>164</v>
      </c>
      <c r="B58" t="s">
        <v>3</v>
      </c>
      <c r="C58" t="s">
        <v>29</v>
      </c>
      <c r="D58">
        <v>403.83801</v>
      </c>
      <c r="E58">
        <v>2.4140000000000938E-2</v>
      </c>
      <c r="F58">
        <f t="shared" si="0"/>
        <v>24.140000000000938</v>
      </c>
      <c r="G58">
        <f t="shared" si="1"/>
        <v>16.728997928748313</v>
      </c>
      <c r="H58" t="s">
        <v>27</v>
      </c>
      <c r="J58">
        <v>164</v>
      </c>
      <c r="K58" t="s">
        <v>3</v>
      </c>
      <c r="L58" t="s">
        <v>29</v>
      </c>
      <c r="M58">
        <v>403.83801</v>
      </c>
      <c r="N58">
        <v>2.4140000000000002E-2</v>
      </c>
      <c r="O58">
        <v>24.14</v>
      </c>
      <c r="P58">
        <v>16.728997929999998</v>
      </c>
      <c r="Q58" t="s">
        <v>27</v>
      </c>
      <c r="S58">
        <v>164</v>
      </c>
      <c r="T58" t="s">
        <v>3</v>
      </c>
      <c r="U58" t="s">
        <v>29</v>
      </c>
      <c r="V58">
        <v>403.83801</v>
      </c>
      <c r="W58">
        <v>2.4140000000000002E-2</v>
      </c>
      <c r="X58">
        <v>24.14</v>
      </c>
      <c r="Y58">
        <v>16.728997929999998</v>
      </c>
    </row>
    <row r="59" spans="1:48" x14ac:dyDescent="0.2">
      <c r="A59">
        <v>165</v>
      </c>
      <c r="B59" t="s">
        <v>2</v>
      </c>
      <c r="C59" t="s">
        <v>35</v>
      </c>
      <c r="D59">
        <v>11632.3</v>
      </c>
      <c r="E59">
        <v>2.1340000000000359E-2</v>
      </c>
      <c r="F59">
        <f t="shared" si="0"/>
        <v>21.340000000000359</v>
      </c>
      <c r="G59" s="23">
        <f t="shared" si="1"/>
        <v>545.09372071226824</v>
      </c>
      <c r="H59" t="s">
        <v>27</v>
      </c>
      <c r="J59">
        <v>165</v>
      </c>
      <c r="K59" t="s">
        <v>2</v>
      </c>
      <c r="L59" t="s">
        <v>35</v>
      </c>
      <c r="M59">
        <v>11632.3</v>
      </c>
      <c r="N59">
        <v>2.1340000000000001E-2</v>
      </c>
      <c r="O59">
        <v>21.34</v>
      </c>
      <c r="Q59" t="s">
        <v>27</v>
      </c>
      <c r="S59">
        <v>165</v>
      </c>
      <c r="T59" t="s">
        <v>2</v>
      </c>
      <c r="U59" t="s">
        <v>35</v>
      </c>
      <c r="V59">
        <v>11632.3</v>
      </c>
      <c r="W59">
        <v>2.1340000000000001E-2</v>
      </c>
      <c r="X59">
        <v>21.34</v>
      </c>
      <c r="AO59" t="s">
        <v>158</v>
      </c>
      <c r="AP59" t="s">
        <v>91</v>
      </c>
      <c r="AQ59" t="s">
        <v>91</v>
      </c>
      <c r="AR59" t="s">
        <v>91</v>
      </c>
      <c r="AS59" t="s">
        <v>91</v>
      </c>
      <c r="AT59" t="s">
        <v>91</v>
      </c>
      <c r="AU59" t="s">
        <v>91</v>
      </c>
      <c r="AV59" t="s">
        <v>69</v>
      </c>
    </row>
    <row r="60" spans="1:48" x14ac:dyDescent="0.2">
      <c r="A60">
        <v>166</v>
      </c>
      <c r="B60" t="s">
        <v>2</v>
      </c>
      <c r="C60" t="s">
        <v>35</v>
      </c>
      <c r="D60">
        <v>4843.7065400000001</v>
      </c>
      <c r="E60">
        <v>2.1810000000000329E-2</v>
      </c>
      <c r="F60">
        <f t="shared" si="0"/>
        <v>21.810000000000329</v>
      </c>
      <c r="G60">
        <f t="shared" si="1"/>
        <v>222.08649885373347</v>
      </c>
      <c r="H60" t="s">
        <v>27</v>
      </c>
      <c r="J60">
        <v>166</v>
      </c>
      <c r="K60" t="s">
        <v>2</v>
      </c>
      <c r="L60" t="s">
        <v>35</v>
      </c>
      <c r="M60">
        <v>4843.7065400000001</v>
      </c>
      <c r="N60">
        <v>2.181E-2</v>
      </c>
      <c r="O60">
        <v>21.81</v>
      </c>
      <c r="P60">
        <v>222.08649890000001</v>
      </c>
      <c r="Q60" t="s">
        <v>27</v>
      </c>
      <c r="S60">
        <v>166</v>
      </c>
      <c r="T60" t="s">
        <v>2</v>
      </c>
      <c r="U60" t="s">
        <v>35</v>
      </c>
      <c r="V60">
        <v>4843.7065400000001</v>
      </c>
      <c r="W60">
        <v>2.181E-2</v>
      </c>
      <c r="X60">
        <v>21.81</v>
      </c>
      <c r="Y60">
        <v>222.08649890000001</v>
      </c>
      <c r="AB60" t="s">
        <v>198</v>
      </c>
      <c r="AO60" t="s">
        <v>25</v>
      </c>
      <c r="AP60" t="s">
        <v>173</v>
      </c>
      <c r="AQ60" t="s">
        <v>91</v>
      </c>
      <c r="AV60">
        <v>159.13918000000001</v>
      </c>
    </row>
    <row r="61" spans="1:48" x14ac:dyDescent="0.2">
      <c r="A61">
        <v>169</v>
      </c>
      <c r="B61" t="s">
        <v>2</v>
      </c>
      <c r="C61" t="s">
        <v>29</v>
      </c>
      <c r="D61">
        <v>1997.1908000000001</v>
      </c>
      <c r="E61">
        <v>1.9489999999999341E-2</v>
      </c>
      <c r="F61">
        <f t="shared" si="0"/>
        <v>19.489999999999341</v>
      </c>
      <c r="G61">
        <f t="shared" si="1"/>
        <v>102.47259107234827</v>
      </c>
      <c r="H61" t="s">
        <v>27</v>
      </c>
      <c r="J61">
        <v>169</v>
      </c>
      <c r="K61" t="s">
        <v>2</v>
      </c>
      <c r="L61" t="s">
        <v>29</v>
      </c>
      <c r="M61">
        <v>1997.1908000000001</v>
      </c>
      <c r="N61">
        <v>1.949E-2</v>
      </c>
      <c r="O61">
        <v>19.489999999999998</v>
      </c>
      <c r="P61">
        <v>102.4725911</v>
      </c>
      <c r="Q61" t="s">
        <v>27</v>
      </c>
      <c r="S61">
        <v>169</v>
      </c>
      <c r="T61" t="s">
        <v>2</v>
      </c>
      <c r="U61" t="s">
        <v>29</v>
      </c>
      <c r="V61">
        <v>1997.1908000000001</v>
      </c>
      <c r="W61">
        <v>1.949E-2</v>
      </c>
      <c r="X61">
        <v>19.489999999999998</v>
      </c>
      <c r="Y61">
        <v>102.4725911</v>
      </c>
      <c r="AO61" t="s">
        <v>35</v>
      </c>
      <c r="AP61" t="s">
        <v>173</v>
      </c>
      <c r="AQ61" t="s">
        <v>226</v>
      </c>
      <c r="AV61">
        <v>141.95953</v>
      </c>
    </row>
    <row r="62" spans="1:48" x14ac:dyDescent="0.2">
      <c r="A62">
        <v>172</v>
      </c>
      <c r="B62" t="s">
        <v>2</v>
      </c>
      <c r="C62" t="s">
        <v>29</v>
      </c>
      <c r="D62">
        <v>230.45035999999999</v>
      </c>
      <c r="E62">
        <v>1.9809999999999661E-2</v>
      </c>
      <c r="F62">
        <f t="shared" si="0"/>
        <v>19.809999999999661</v>
      </c>
      <c r="G62">
        <f t="shared" si="1"/>
        <v>11.633031802120339</v>
      </c>
      <c r="H62" t="s">
        <v>33</v>
      </c>
      <c r="J62">
        <v>172</v>
      </c>
      <c r="K62" t="s">
        <v>2</v>
      </c>
      <c r="L62" t="s">
        <v>29</v>
      </c>
      <c r="M62">
        <v>230.45035999999999</v>
      </c>
      <c r="N62">
        <v>1.9810000000000001E-2</v>
      </c>
      <c r="O62">
        <v>19.809999999999999</v>
      </c>
      <c r="P62">
        <v>11.633031799999999</v>
      </c>
      <c r="Q62" t="s">
        <v>33</v>
      </c>
      <c r="S62">
        <v>172</v>
      </c>
      <c r="T62" t="s">
        <v>2</v>
      </c>
      <c r="U62" t="s">
        <v>29</v>
      </c>
      <c r="V62">
        <v>230.45035999999999</v>
      </c>
      <c r="W62">
        <v>1.9810000000000001E-2</v>
      </c>
      <c r="X62">
        <v>19.809999999999999</v>
      </c>
      <c r="Y62">
        <v>11.633031799999999</v>
      </c>
      <c r="AB62" t="s">
        <v>199</v>
      </c>
      <c r="AC62" t="s">
        <v>114</v>
      </c>
      <c r="AD62" t="s">
        <v>200</v>
      </c>
      <c r="AO62" t="s">
        <v>29</v>
      </c>
      <c r="AP62" t="s">
        <v>91</v>
      </c>
      <c r="AQ62" t="s">
        <v>226</v>
      </c>
      <c r="AV62">
        <v>111.94434</v>
      </c>
    </row>
    <row r="63" spans="1:48" x14ac:dyDescent="0.2">
      <c r="A63">
        <v>177</v>
      </c>
      <c r="B63" t="s">
        <v>3</v>
      </c>
      <c r="C63" t="s">
        <v>25</v>
      </c>
      <c r="D63">
        <v>6524.0375999999997</v>
      </c>
      <c r="E63">
        <v>2.1539999999999893E-2</v>
      </c>
      <c r="F63">
        <f t="shared" si="0"/>
        <v>21.539999999999893</v>
      </c>
      <c r="G63">
        <f t="shared" si="1"/>
        <v>302.8801114206143</v>
      </c>
      <c r="H63" t="s">
        <v>33</v>
      </c>
      <c r="J63">
        <v>177</v>
      </c>
      <c r="K63" t="s">
        <v>3</v>
      </c>
      <c r="L63" t="s">
        <v>25</v>
      </c>
      <c r="M63">
        <v>6524.0375999999997</v>
      </c>
      <c r="N63">
        <v>2.154E-2</v>
      </c>
      <c r="O63">
        <v>21.54</v>
      </c>
      <c r="P63">
        <v>302.88011139999998</v>
      </c>
      <c r="Q63" t="s">
        <v>33</v>
      </c>
      <c r="S63">
        <v>177</v>
      </c>
      <c r="T63" t="s">
        <v>3</v>
      </c>
      <c r="U63" t="s">
        <v>25</v>
      </c>
      <c r="V63">
        <v>6524.0375999999997</v>
      </c>
      <c r="W63">
        <v>2.154E-2</v>
      </c>
      <c r="X63">
        <v>21.54</v>
      </c>
      <c r="Y63">
        <v>302.88011139999998</v>
      </c>
      <c r="AB63">
        <v>0.29260000000000003</v>
      </c>
      <c r="AC63">
        <v>1</v>
      </c>
      <c r="AD63" s="23">
        <v>0.58860000000000001</v>
      </c>
    </row>
    <row r="64" spans="1:48" x14ac:dyDescent="0.2">
      <c r="A64">
        <v>181</v>
      </c>
      <c r="B64" t="s">
        <v>3</v>
      </c>
      <c r="C64" t="s">
        <v>29</v>
      </c>
      <c r="D64">
        <v>1708.3144500000001</v>
      </c>
      <c r="E64">
        <v>1.9149999999999778E-2</v>
      </c>
      <c r="F64">
        <f t="shared" si="0"/>
        <v>19.149999999999778</v>
      </c>
      <c r="G64">
        <f t="shared" si="1"/>
        <v>89.207020887729499</v>
      </c>
      <c r="H64" t="s">
        <v>33</v>
      </c>
      <c r="J64">
        <v>181</v>
      </c>
      <c r="K64" t="s">
        <v>3</v>
      </c>
      <c r="L64" t="s">
        <v>29</v>
      </c>
      <c r="M64">
        <v>1708.3144500000001</v>
      </c>
      <c r="N64">
        <v>1.915E-2</v>
      </c>
      <c r="O64">
        <v>19.149999999999999</v>
      </c>
      <c r="P64">
        <v>89.207020889999995</v>
      </c>
      <c r="Q64" t="s">
        <v>33</v>
      </c>
      <c r="S64">
        <v>181</v>
      </c>
      <c r="T64" t="s">
        <v>3</v>
      </c>
      <c r="U64" t="s">
        <v>29</v>
      </c>
      <c r="V64">
        <v>1708.3144500000001</v>
      </c>
      <c r="W64">
        <v>1.915E-2</v>
      </c>
      <c r="X64">
        <v>19.149999999999999</v>
      </c>
      <c r="Y64">
        <v>89.207020889999995</v>
      </c>
    </row>
    <row r="65" spans="1:48" x14ac:dyDescent="0.2">
      <c r="A65">
        <v>183</v>
      </c>
      <c r="B65" t="s">
        <v>3</v>
      </c>
      <c r="C65" t="s">
        <v>25</v>
      </c>
      <c r="D65">
        <v>422.40008999999998</v>
      </c>
      <c r="E65">
        <v>2.1419999999999106E-2</v>
      </c>
      <c r="F65">
        <f t="shared" si="0"/>
        <v>21.419999999999106</v>
      </c>
      <c r="G65">
        <f t="shared" si="1"/>
        <v>19.719892156863565</v>
      </c>
      <c r="H65" t="s">
        <v>27</v>
      </c>
      <c r="J65">
        <v>183</v>
      </c>
      <c r="K65" t="s">
        <v>3</v>
      </c>
      <c r="L65" t="s">
        <v>25</v>
      </c>
      <c r="M65">
        <v>422.40008999999998</v>
      </c>
      <c r="N65">
        <v>2.1420000000000002E-2</v>
      </c>
      <c r="O65">
        <v>21.42</v>
      </c>
      <c r="P65">
        <v>19.719892160000001</v>
      </c>
      <c r="Q65" t="s">
        <v>27</v>
      </c>
      <c r="S65">
        <v>183</v>
      </c>
      <c r="T65" t="s">
        <v>3</v>
      </c>
      <c r="U65" t="s">
        <v>25</v>
      </c>
      <c r="V65">
        <v>422.40008999999998</v>
      </c>
      <c r="W65">
        <v>2.1420000000000002E-2</v>
      </c>
      <c r="X65">
        <v>21.42</v>
      </c>
      <c r="Y65">
        <v>19.719892160000001</v>
      </c>
      <c r="AO65" t="s">
        <v>174</v>
      </c>
    </row>
    <row r="66" spans="1:48" x14ac:dyDescent="0.2">
      <c r="A66">
        <v>185</v>
      </c>
      <c r="B66" t="s">
        <v>3</v>
      </c>
      <c r="C66" t="s">
        <v>25</v>
      </c>
      <c r="D66">
        <v>161.34726000000001</v>
      </c>
      <c r="E66">
        <v>2.2879999999998901E-2</v>
      </c>
      <c r="F66">
        <f t="shared" si="0"/>
        <v>22.879999999998901</v>
      </c>
      <c r="G66">
        <f t="shared" si="1"/>
        <v>7.051890734266073</v>
      </c>
      <c r="H66" t="s">
        <v>33</v>
      </c>
      <c r="J66">
        <v>185</v>
      </c>
      <c r="K66" t="s">
        <v>3</v>
      </c>
      <c r="L66" t="s">
        <v>25</v>
      </c>
      <c r="M66">
        <v>161.34726000000001</v>
      </c>
      <c r="N66">
        <v>2.2880000000000001E-2</v>
      </c>
      <c r="O66">
        <v>22.88</v>
      </c>
      <c r="P66">
        <v>7.0518907339999997</v>
      </c>
      <c r="Q66" t="s">
        <v>33</v>
      </c>
      <c r="S66">
        <v>185</v>
      </c>
      <c r="T66" t="s">
        <v>3</v>
      </c>
      <c r="U66" t="s">
        <v>25</v>
      </c>
      <c r="V66">
        <v>161.34726000000001</v>
      </c>
      <c r="W66">
        <v>2.2880000000000001E-2</v>
      </c>
      <c r="X66">
        <v>22.88</v>
      </c>
      <c r="Y66">
        <v>7.0518907339999997</v>
      </c>
    </row>
    <row r="67" spans="1:48" x14ac:dyDescent="0.2">
      <c r="A67">
        <v>186</v>
      </c>
      <c r="B67" t="s">
        <v>3</v>
      </c>
      <c r="C67" t="s">
        <v>25</v>
      </c>
      <c r="D67">
        <v>1663.1749299999999</v>
      </c>
      <c r="E67">
        <v>2.4850000000000705E-2</v>
      </c>
      <c r="F67">
        <f t="shared" si="0"/>
        <v>24.850000000000705</v>
      </c>
      <c r="G67">
        <f t="shared" si="1"/>
        <v>66.928568611668112</v>
      </c>
      <c r="H67" t="s">
        <v>27</v>
      </c>
      <c r="J67">
        <v>186</v>
      </c>
      <c r="K67" t="s">
        <v>3</v>
      </c>
      <c r="L67" t="s">
        <v>25</v>
      </c>
      <c r="M67">
        <v>1663.1749299999999</v>
      </c>
      <c r="N67">
        <v>2.4850000000000001E-2</v>
      </c>
      <c r="O67">
        <v>24.85</v>
      </c>
      <c r="P67">
        <v>66.928568609999999</v>
      </c>
      <c r="Q67" t="s">
        <v>27</v>
      </c>
      <c r="S67">
        <v>186</v>
      </c>
      <c r="T67" t="s">
        <v>3</v>
      </c>
      <c r="U67" t="s">
        <v>25</v>
      </c>
      <c r="V67">
        <v>1663.1749299999999</v>
      </c>
      <c r="W67">
        <v>2.4850000000000001E-2</v>
      </c>
      <c r="X67">
        <v>24.85</v>
      </c>
      <c r="Y67">
        <v>66.928568609999999</v>
      </c>
    </row>
    <row r="68" spans="1:48" x14ac:dyDescent="0.2">
      <c r="A68">
        <v>189</v>
      </c>
      <c r="B68" t="s">
        <v>3</v>
      </c>
      <c r="C68" t="s">
        <v>35</v>
      </c>
      <c r="D68">
        <v>4971.7968700000001</v>
      </c>
      <c r="E68">
        <v>1.7330000000001178E-2</v>
      </c>
      <c r="F68">
        <f t="shared" si="0"/>
        <v>17.330000000001178</v>
      </c>
      <c r="G68">
        <f t="shared" si="1"/>
        <v>286.88960588572775</v>
      </c>
      <c r="H68" t="s">
        <v>27</v>
      </c>
      <c r="J68">
        <v>189</v>
      </c>
      <c r="K68" t="s">
        <v>3</v>
      </c>
      <c r="L68" t="s">
        <v>35</v>
      </c>
      <c r="M68">
        <v>4971.7968700000001</v>
      </c>
      <c r="N68">
        <v>1.7330000000000002E-2</v>
      </c>
      <c r="O68">
        <v>17.329999999999998</v>
      </c>
      <c r="P68">
        <v>286.88960589999999</v>
      </c>
      <c r="Q68" t="s">
        <v>27</v>
      </c>
      <c r="S68">
        <v>189</v>
      </c>
      <c r="T68" t="s">
        <v>3</v>
      </c>
      <c r="U68" t="s">
        <v>35</v>
      </c>
      <c r="V68">
        <v>4971.7968700000001</v>
      </c>
      <c r="W68">
        <v>1.7330000000000002E-2</v>
      </c>
      <c r="X68">
        <v>17.329999999999998</v>
      </c>
      <c r="Y68">
        <v>286.88960589999999</v>
      </c>
      <c r="AB68" t="s">
        <v>237</v>
      </c>
    </row>
    <row r="69" spans="1:48" x14ac:dyDescent="0.2">
      <c r="A69">
        <v>190</v>
      </c>
      <c r="B69" t="s">
        <v>3</v>
      </c>
      <c r="C69" t="s">
        <v>29</v>
      </c>
      <c r="D69">
        <v>1963.1289099999999</v>
      </c>
      <c r="E69">
        <v>1.9729999999999137E-2</v>
      </c>
      <c r="F69">
        <f t="shared" ref="F69:F132" si="2">E69*1000</f>
        <v>19.729999999999137</v>
      </c>
      <c r="G69">
        <f t="shared" ref="G69:G132" si="3">D69/F69</f>
        <v>99.499691332999788</v>
      </c>
      <c r="H69" t="s">
        <v>27</v>
      </c>
      <c r="J69">
        <v>190</v>
      </c>
      <c r="K69" t="s">
        <v>3</v>
      </c>
      <c r="L69" t="s">
        <v>29</v>
      </c>
      <c r="M69">
        <v>1963.1289099999999</v>
      </c>
      <c r="N69">
        <v>1.9730000000000001E-2</v>
      </c>
      <c r="O69">
        <v>19.73</v>
      </c>
      <c r="P69">
        <v>99.499691330000005</v>
      </c>
      <c r="Q69" t="s">
        <v>27</v>
      </c>
      <c r="S69">
        <v>190</v>
      </c>
      <c r="T69" t="s">
        <v>3</v>
      </c>
      <c r="U69" t="s">
        <v>29</v>
      </c>
      <c r="V69">
        <v>1963.1289099999999</v>
      </c>
      <c r="W69">
        <v>1.9730000000000001E-2</v>
      </c>
      <c r="X69">
        <v>19.73</v>
      </c>
      <c r="Y69">
        <v>99.499691330000005</v>
      </c>
      <c r="AO69" t="s">
        <v>175</v>
      </c>
    </row>
    <row r="70" spans="1:48" x14ac:dyDescent="0.2">
      <c r="A70">
        <v>192</v>
      </c>
      <c r="B70" t="s">
        <v>3</v>
      </c>
      <c r="C70" t="s">
        <v>29</v>
      </c>
      <c r="D70">
        <v>2055.2372999999998</v>
      </c>
      <c r="E70">
        <v>1.953000000000138E-2</v>
      </c>
      <c r="F70">
        <f t="shared" si="2"/>
        <v>19.53000000000138</v>
      </c>
      <c r="G70">
        <f t="shared" si="3"/>
        <v>105.23488479261928</v>
      </c>
      <c r="H70" t="s">
        <v>33</v>
      </c>
      <c r="J70">
        <v>192</v>
      </c>
      <c r="K70" t="s">
        <v>3</v>
      </c>
      <c r="L70" t="s">
        <v>29</v>
      </c>
      <c r="M70">
        <v>2055.2372999999998</v>
      </c>
      <c r="N70">
        <v>1.9529999999999999E-2</v>
      </c>
      <c r="O70">
        <v>19.53</v>
      </c>
      <c r="P70">
        <v>105.2348848</v>
      </c>
      <c r="Q70" t="s">
        <v>33</v>
      </c>
      <c r="S70">
        <v>192</v>
      </c>
      <c r="T70" t="s">
        <v>3</v>
      </c>
      <c r="U70" t="s">
        <v>29</v>
      </c>
      <c r="V70">
        <v>2055.2372999999998</v>
      </c>
      <c r="W70">
        <v>1.9529999999999999E-2</v>
      </c>
      <c r="X70">
        <v>19.53</v>
      </c>
      <c r="Y70">
        <v>105.2348848</v>
      </c>
      <c r="AB70" t="s">
        <v>107</v>
      </c>
    </row>
    <row r="71" spans="1:48" x14ac:dyDescent="0.2">
      <c r="A71">
        <v>193</v>
      </c>
      <c r="B71" t="s">
        <v>3</v>
      </c>
      <c r="C71" t="s">
        <v>25</v>
      </c>
      <c r="D71">
        <v>249.59079</v>
      </c>
      <c r="E71">
        <v>2.0969999999998379E-2</v>
      </c>
      <c r="F71">
        <f t="shared" si="2"/>
        <v>20.969999999998379</v>
      </c>
      <c r="G71">
        <f t="shared" si="3"/>
        <v>11.902278969958001</v>
      </c>
      <c r="H71" t="s">
        <v>33</v>
      </c>
      <c r="J71">
        <v>193</v>
      </c>
      <c r="K71" t="s">
        <v>3</v>
      </c>
      <c r="L71" t="s">
        <v>25</v>
      </c>
      <c r="M71">
        <v>249.59079</v>
      </c>
      <c r="N71">
        <v>2.0969999999999999E-2</v>
      </c>
      <c r="O71">
        <v>20.97</v>
      </c>
      <c r="P71">
        <v>11.902278969999999</v>
      </c>
      <c r="Q71" t="s">
        <v>33</v>
      </c>
      <c r="S71">
        <v>193</v>
      </c>
      <c r="T71" t="s">
        <v>3</v>
      </c>
      <c r="U71" t="s">
        <v>25</v>
      </c>
      <c r="V71">
        <v>249.59079</v>
      </c>
      <c r="W71">
        <v>2.0969999999999999E-2</v>
      </c>
      <c r="X71">
        <v>20.97</v>
      </c>
      <c r="Y71">
        <v>11.902278969999999</v>
      </c>
      <c r="AB71">
        <v>2</v>
      </c>
      <c r="AO71" t="s">
        <v>158</v>
      </c>
      <c r="AP71" t="s">
        <v>176</v>
      </c>
      <c r="AQ71" t="s">
        <v>111</v>
      </c>
      <c r="AR71" t="s">
        <v>113</v>
      </c>
      <c r="AS71" t="s">
        <v>177</v>
      </c>
      <c r="AT71" t="s">
        <v>178</v>
      </c>
      <c r="AU71" t="s">
        <v>179</v>
      </c>
      <c r="AV71" t="s">
        <v>180</v>
      </c>
    </row>
    <row r="72" spans="1:48" x14ac:dyDescent="0.2">
      <c r="A72">
        <v>194</v>
      </c>
      <c r="B72" t="s">
        <v>2</v>
      </c>
      <c r="C72" t="s">
        <v>29</v>
      </c>
      <c r="D72">
        <v>2935.9091800000001</v>
      </c>
      <c r="E72">
        <v>2.4799999999999045E-2</v>
      </c>
      <c r="F72">
        <f t="shared" si="2"/>
        <v>24.799999999999045</v>
      </c>
      <c r="G72">
        <f t="shared" si="3"/>
        <v>118.38343467742392</v>
      </c>
      <c r="H72" t="s">
        <v>33</v>
      </c>
      <c r="J72">
        <v>194</v>
      </c>
      <c r="K72" t="s">
        <v>2</v>
      </c>
      <c r="L72" t="s">
        <v>29</v>
      </c>
      <c r="M72">
        <v>2935.9091800000001</v>
      </c>
      <c r="N72">
        <v>2.4799999999999999E-2</v>
      </c>
      <c r="O72">
        <v>24.8</v>
      </c>
      <c r="P72">
        <v>118.3834347</v>
      </c>
      <c r="Q72" t="s">
        <v>33</v>
      </c>
      <c r="S72">
        <v>194</v>
      </c>
      <c r="T72" t="s">
        <v>2</v>
      </c>
      <c r="U72" t="s">
        <v>29</v>
      </c>
      <c r="V72">
        <v>2935.9091800000001</v>
      </c>
      <c r="W72">
        <v>2.4799999999999999E-2</v>
      </c>
      <c r="X72">
        <v>24.8</v>
      </c>
      <c r="Y72">
        <v>118.3834347</v>
      </c>
      <c r="AO72" t="s">
        <v>25</v>
      </c>
      <c r="AP72" t="s">
        <v>29</v>
      </c>
      <c r="AQ72">
        <v>47.194839999999999</v>
      </c>
      <c r="AR72">
        <v>19.931650000000001</v>
      </c>
      <c r="AS72">
        <v>3.8300000000000001E-2</v>
      </c>
      <c r="AT72">
        <v>94.351339999999993</v>
      </c>
      <c r="AU72">
        <v>4.9799999999999997E-2</v>
      </c>
      <c r="AV72" t="s">
        <v>230</v>
      </c>
    </row>
    <row r="73" spans="1:48" x14ac:dyDescent="0.2">
      <c r="A73">
        <v>195</v>
      </c>
      <c r="B73" t="s">
        <v>3</v>
      </c>
      <c r="C73" t="s">
        <v>29</v>
      </c>
      <c r="D73">
        <v>1910.9140600000001</v>
      </c>
      <c r="E73">
        <v>1.7660000000001119E-2</v>
      </c>
      <c r="F73">
        <f t="shared" si="2"/>
        <v>17.660000000001119</v>
      </c>
      <c r="G73">
        <f t="shared" si="3"/>
        <v>108.20577916194105</v>
      </c>
      <c r="H73" t="s">
        <v>33</v>
      </c>
      <c r="J73">
        <v>195</v>
      </c>
      <c r="K73" t="s">
        <v>3</v>
      </c>
      <c r="L73" t="s">
        <v>29</v>
      </c>
      <c r="M73">
        <v>1910.9140600000001</v>
      </c>
      <c r="N73">
        <v>1.7659999999999999E-2</v>
      </c>
      <c r="O73">
        <v>17.66</v>
      </c>
      <c r="P73">
        <v>108.20577919999999</v>
      </c>
      <c r="Q73" t="s">
        <v>33</v>
      </c>
      <c r="S73">
        <v>195</v>
      </c>
      <c r="T73" t="s">
        <v>3</v>
      </c>
      <c r="U73" t="s">
        <v>29</v>
      </c>
      <c r="V73">
        <v>1910.9140600000001</v>
      </c>
      <c r="W73">
        <v>1.7659999999999999E-2</v>
      </c>
      <c r="X73">
        <v>17.66</v>
      </c>
      <c r="Y73">
        <v>108.20577919999999</v>
      </c>
      <c r="AO73" t="s">
        <v>35</v>
      </c>
      <c r="AP73" t="s">
        <v>29</v>
      </c>
      <c r="AQ73">
        <v>30.01519</v>
      </c>
      <c r="AR73">
        <v>19.819220000000001</v>
      </c>
      <c r="AS73">
        <v>-16.875299999999999</v>
      </c>
      <c r="AT73">
        <v>76.905690000000007</v>
      </c>
      <c r="AU73">
        <v>0.28689999999999999</v>
      </c>
      <c r="AV73" t="s">
        <v>244</v>
      </c>
    </row>
    <row r="74" spans="1:48" x14ac:dyDescent="0.2">
      <c r="A74">
        <v>199</v>
      </c>
      <c r="B74" t="s">
        <v>2</v>
      </c>
      <c r="C74" t="s">
        <v>29</v>
      </c>
      <c r="D74">
        <v>1940.3548599999999</v>
      </c>
      <c r="E74">
        <v>1.991999999999905E-2</v>
      </c>
      <c r="F74">
        <f t="shared" si="2"/>
        <v>19.91999999999905</v>
      </c>
      <c r="G74">
        <f t="shared" si="3"/>
        <v>97.407372489964487</v>
      </c>
      <c r="H74" t="s">
        <v>33</v>
      </c>
      <c r="J74">
        <v>199</v>
      </c>
      <c r="K74" t="s">
        <v>2</v>
      </c>
      <c r="L74" t="s">
        <v>29</v>
      </c>
      <c r="M74">
        <v>1940.3548599999999</v>
      </c>
      <c r="N74">
        <v>1.992E-2</v>
      </c>
      <c r="O74">
        <v>19.920000000000002</v>
      </c>
      <c r="P74">
        <v>97.40737249</v>
      </c>
      <c r="Q74" t="s">
        <v>33</v>
      </c>
      <c r="S74">
        <v>199</v>
      </c>
      <c r="T74" t="s">
        <v>2</v>
      </c>
      <c r="U74" t="s">
        <v>29</v>
      </c>
      <c r="V74">
        <v>1940.3548599999999</v>
      </c>
      <c r="W74">
        <v>1.992E-2</v>
      </c>
      <c r="X74">
        <v>19.920000000000002</v>
      </c>
      <c r="Y74">
        <v>97.40737249</v>
      </c>
      <c r="AB74" t="s">
        <v>193</v>
      </c>
      <c r="AO74" t="s">
        <v>25</v>
      </c>
      <c r="AP74" t="s">
        <v>35</v>
      </c>
      <c r="AQ74">
        <v>17.179649999999999</v>
      </c>
      <c r="AR74">
        <v>21.034739999999999</v>
      </c>
      <c r="AS74">
        <v>-32.5867</v>
      </c>
      <c r="AT74">
        <v>66.945959999999999</v>
      </c>
      <c r="AU74">
        <v>0.69320000000000004</v>
      </c>
      <c r="AV74" t="s">
        <v>245</v>
      </c>
    </row>
    <row r="75" spans="1:48" x14ac:dyDescent="0.2">
      <c r="A75">
        <v>201</v>
      </c>
      <c r="B75" t="s">
        <v>3</v>
      </c>
      <c r="C75" t="s">
        <v>29</v>
      </c>
      <c r="D75">
        <v>4257.12842</v>
      </c>
      <c r="E75">
        <v>2.2349999999999426E-2</v>
      </c>
      <c r="F75">
        <f t="shared" si="2"/>
        <v>22.349999999999426</v>
      </c>
      <c r="G75">
        <f t="shared" si="3"/>
        <v>190.47554451902056</v>
      </c>
      <c r="H75" t="s">
        <v>27</v>
      </c>
      <c r="J75">
        <v>201</v>
      </c>
      <c r="K75" t="s">
        <v>3</v>
      </c>
      <c r="L75" t="s">
        <v>29</v>
      </c>
      <c r="M75">
        <v>4257.12842</v>
      </c>
      <c r="N75">
        <v>2.2349999999999998E-2</v>
      </c>
      <c r="O75">
        <v>22.35</v>
      </c>
      <c r="P75">
        <v>190.47554450000001</v>
      </c>
      <c r="Q75" t="s">
        <v>27</v>
      </c>
      <c r="S75">
        <v>201</v>
      </c>
      <c r="T75" t="s">
        <v>3</v>
      </c>
      <c r="U75" t="s">
        <v>29</v>
      </c>
      <c r="V75">
        <v>4257.12842</v>
      </c>
      <c r="W75">
        <v>2.2349999999999998E-2</v>
      </c>
      <c r="X75">
        <v>22.35</v>
      </c>
      <c r="Y75">
        <v>190.47554450000001</v>
      </c>
    </row>
    <row r="76" spans="1:48" x14ac:dyDescent="0.2">
      <c r="A76">
        <v>202</v>
      </c>
      <c r="B76" t="s">
        <v>2</v>
      </c>
      <c r="C76" t="s">
        <v>35</v>
      </c>
      <c r="D76">
        <v>1390.7824700000001</v>
      </c>
      <c r="E76">
        <v>2.5610000000000355E-2</v>
      </c>
      <c r="F76">
        <f t="shared" si="2"/>
        <v>25.610000000000355</v>
      </c>
      <c r="G76">
        <f t="shared" si="3"/>
        <v>54.306226864505305</v>
      </c>
      <c r="H76" t="s">
        <v>27</v>
      </c>
      <c r="J76">
        <v>202</v>
      </c>
      <c r="K76" t="s">
        <v>2</v>
      </c>
      <c r="L76" t="s">
        <v>35</v>
      </c>
      <c r="M76">
        <v>1390.7824700000001</v>
      </c>
      <c r="N76">
        <v>2.5610000000000001E-2</v>
      </c>
      <c r="O76">
        <v>25.61</v>
      </c>
      <c r="P76">
        <v>54.306226860000002</v>
      </c>
      <c r="Q76" t="s">
        <v>27</v>
      </c>
      <c r="S76">
        <v>202</v>
      </c>
      <c r="T76" t="s">
        <v>2</v>
      </c>
      <c r="U76" t="s">
        <v>35</v>
      </c>
      <c r="V76">
        <v>1390.7824700000001</v>
      </c>
      <c r="W76">
        <v>2.5610000000000001E-2</v>
      </c>
      <c r="X76">
        <v>25.61</v>
      </c>
      <c r="Y76">
        <v>54.306226860000002</v>
      </c>
      <c r="AB76" t="s">
        <v>158</v>
      </c>
      <c r="AC76" t="s">
        <v>82</v>
      </c>
      <c r="AD76" t="s">
        <v>194</v>
      </c>
      <c r="AE76" t="s">
        <v>195</v>
      </c>
      <c r="AF76" t="s">
        <v>196</v>
      </c>
      <c r="AG76" t="s">
        <v>197</v>
      </c>
    </row>
    <row r="77" spans="1:48" x14ac:dyDescent="0.2">
      <c r="A77">
        <v>205</v>
      </c>
      <c r="B77" t="s">
        <v>2</v>
      </c>
      <c r="C77" t="s">
        <v>25</v>
      </c>
      <c r="D77">
        <v>10427.299999999999</v>
      </c>
      <c r="E77">
        <v>2.1199999999998553E-2</v>
      </c>
      <c r="F77">
        <f t="shared" si="2"/>
        <v>21.199999999998553</v>
      </c>
      <c r="G77">
        <f t="shared" si="3"/>
        <v>491.85377358493918</v>
      </c>
      <c r="H77" t="s">
        <v>33</v>
      </c>
      <c r="J77">
        <v>205</v>
      </c>
      <c r="K77" t="s">
        <v>2</v>
      </c>
      <c r="L77" t="s">
        <v>25</v>
      </c>
      <c r="M77">
        <v>10427.299999999999</v>
      </c>
      <c r="N77">
        <v>2.12E-2</v>
      </c>
      <c r="O77">
        <v>21.2</v>
      </c>
      <c r="P77">
        <v>491.85377360000001</v>
      </c>
      <c r="Q77" t="s">
        <v>33</v>
      </c>
      <c r="S77">
        <v>205</v>
      </c>
      <c r="T77" t="s">
        <v>2</v>
      </c>
      <c r="U77" t="s">
        <v>25</v>
      </c>
      <c r="V77">
        <v>10427.299999999999</v>
      </c>
      <c r="W77">
        <v>2.12E-2</v>
      </c>
      <c r="X77">
        <v>21.2</v>
      </c>
      <c r="Y77">
        <v>491.85377360000001</v>
      </c>
      <c r="AB77" t="s">
        <v>2</v>
      </c>
      <c r="AC77">
        <v>22</v>
      </c>
      <c r="AD77">
        <v>525</v>
      </c>
      <c r="AE77">
        <v>561</v>
      </c>
      <c r="AF77">
        <v>23.863600000000002</v>
      </c>
      <c r="AG77">
        <v>-0.69399999999999995</v>
      </c>
    </row>
    <row r="78" spans="1:48" x14ac:dyDescent="0.2">
      <c r="A78">
        <v>208</v>
      </c>
      <c r="B78" t="s">
        <v>3</v>
      </c>
      <c r="C78" t="s">
        <v>29</v>
      </c>
      <c r="D78">
        <v>123.49079999999999</v>
      </c>
      <c r="E78">
        <v>1.9140000000000157E-2</v>
      </c>
      <c r="F78">
        <f t="shared" si="2"/>
        <v>19.140000000000157</v>
      </c>
      <c r="G78">
        <f t="shared" si="3"/>
        <v>6.4519749216300406</v>
      </c>
      <c r="H78" t="s">
        <v>33</v>
      </c>
      <c r="J78">
        <v>208</v>
      </c>
      <c r="K78" t="s">
        <v>3</v>
      </c>
      <c r="L78" t="s">
        <v>29</v>
      </c>
      <c r="M78">
        <v>123.49079999999999</v>
      </c>
      <c r="N78">
        <v>1.9140000000000001E-2</v>
      </c>
      <c r="O78">
        <v>19.14</v>
      </c>
      <c r="P78">
        <v>6.4519749219999998</v>
      </c>
      <c r="Q78" t="s">
        <v>33</v>
      </c>
      <c r="S78">
        <v>208</v>
      </c>
      <c r="T78" t="s">
        <v>3</v>
      </c>
      <c r="U78" t="s">
        <v>29</v>
      </c>
      <c r="V78">
        <v>123.49079999999999</v>
      </c>
      <c r="W78">
        <v>1.9140000000000001E-2</v>
      </c>
      <c r="X78">
        <v>19.14</v>
      </c>
      <c r="Y78">
        <v>6.4519749219999998</v>
      </c>
      <c r="AB78" t="s">
        <v>3</v>
      </c>
      <c r="AC78">
        <v>28</v>
      </c>
      <c r="AD78">
        <v>750</v>
      </c>
      <c r="AE78">
        <v>714</v>
      </c>
      <c r="AF78">
        <v>26.785699999999999</v>
      </c>
      <c r="AG78">
        <v>0.69399999999999995</v>
      </c>
    </row>
    <row r="79" spans="1:48" x14ac:dyDescent="0.2">
      <c r="A79">
        <v>209</v>
      </c>
      <c r="B79" t="s">
        <v>3</v>
      </c>
      <c r="C79" t="s">
        <v>25</v>
      </c>
      <c r="D79">
        <v>5555.5024400000002</v>
      </c>
      <c r="E79">
        <v>2.4140000000000938E-2</v>
      </c>
      <c r="F79">
        <f t="shared" si="2"/>
        <v>24.140000000000938</v>
      </c>
      <c r="G79">
        <f t="shared" si="3"/>
        <v>230.13680364539289</v>
      </c>
      <c r="H79" t="s">
        <v>33</v>
      </c>
      <c r="J79">
        <v>209</v>
      </c>
      <c r="K79" t="s">
        <v>3</v>
      </c>
      <c r="L79" t="s">
        <v>25</v>
      </c>
      <c r="M79">
        <v>5555.5024400000002</v>
      </c>
      <c r="N79">
        <v>2.4140000000000002E-2</v>
      </c>
      <c r="O79">
        <v>24.14</v>
      </c>
      <c r="P79">
        <v>230.13680360000001</v>
      </c>
      <c r="Q79" t="s">
        <v>33</v>
      </c>
      <c r="S79">
        <v>209</v>
      </c>
      <c r="T79" t="s">
        <v>3</v>
      </c>
      <c r="U79" t="s">
        <v>25</v>
      </c>
      <c r="V79">
        <v>5555.5024400000002</v>
      </c>
      <c r="W79">
        <v>2.4140000000000002E-2</v>
      </c>
      <c r="X79">
        <v>24.14</v>
      </c>
      <c r="Y79">
        <v>230.13680360000001</v>
      </c>
    </row>
    <row r="80" spans="1:48" x14ac:dyDescent="0.2">
      <c r="A80">
        <v>211</v>
      </c>
      <c r="B80" t="s">
        <v>3</v>
      </c>
      <c r="C80" t="s">
        <v>29</v>
      </c>
      <c r="D80">
        <v>1618.09924</v>
      </c>
      <c r="E80">
        <v>2.1440000000000126E-2</v>
      </c>
      <c r="F80">
        <f t="shared" si="2"/>
        <v>21.440000000000126</v>
      </c>
      <c r="G80">
        <f t="shared" si="3"/>
        <v>75.471046641790608</v>
      </c>
      <c r="H80" t="s">
        <v>27</v>
      </c>
      <c r="J80">
        <v>211</v>
      </c>
      <c r="K80" t="s">
        <v>3</v>
      </c>
      <c r="L80" t="s">
        <v>29</v>
      </c>
      <c r="M80">
        <v>1618.09924</v>
      </c>
      <c r="N80">
        <v>2.1440000000000001E-2</v>
      </c>
      <c r="O80">
        <v>21.44</v>
      </c>
      <c r="P80">
        <v>75.471046639999997</v>
      </c>
      <c r="Q80" t="s">
        <v>27</v>
      </c>
      <c r="S80">
        <v>211</v>
      </c>
      <c r="T80" t="s">
        <v>3</v>
      </c>
      <c r="U80" t="s">
        <v>29</v>
      </c>
      <c r="V80">
        <v>1618.09924</v>
      </c>
      <c r="W80">
        <v>2.1440000000000001E-2</v>
      </c>
      <c r="X80">
        <v>21.44</v>
      </c>
      <c r="Y80">
        <v>75.471046639999997</v>
      </c>
    </row>
    <row r="81" spans="1:30" x14ac:dyDescent="0.2">
      <c r="A81">
        <v>212</v>
      </c>
      <c r="B81" t="s">
        <v>2</v>
      </c>
      <c r="C81" t="s">
        <v>25</v>
      </c>
      <c r="D81">
        <v>2335.12646</v>
      </c>
      <c r="E81">
        <v>2.4189999999999046E-2</v>
      </c>
      <c r="F81">
        <f t="shared" si="2"/>
        <v>24.189999999999046</v>
      </c>
      <c r="G81">
        <f t="shared" si="3"/>
        <v>96.532718478714017</v>
      </c>
      <c r="H81" t="s">
        <v>27</v>
      </c>
      <c r="J81">
        <v>212</v>
      </c>
      <c r="K81" t="s">
        <v>2</v>
      </c>
      <c r="L81" t="s">
        <v>25</v>
      </c>
      <c r="M81">
        <v>2335.12646</v>
      </c>
      <c r="N81">
        <v>2.419E-2</v>
      </c>
      <c r="O81">
        <v>24.19</v>
      </c>
      <c r="P81">
        <v>96.53271848</v>
      </c>
      <c r="Q81" t="s">
        <v>27</v>
      </c>
      <c r="S81">
        <v>212</v>
      </c>
      <c r="T81" t="s">
        <v>2</v>
      </c>
      <c r="U81" t="s">
        <v>25</v>
      </c>
      <c r="V81">
        <v>2335.12646</v>
      </c>
      <c r="W81">
        <v>2.419E-2</v>
      </c>
      <c r="X81">
        <v>24.19</v>
      </c>
      <c r="Y81">
        <v>96.53271848</v>
      </c>
    </row>
    <row r="82" spans="1:30" x14ac:dyDescent="0.2">
      <c r="A82">
        <v>213</v>
      </c>
      <c r="B82" t="s">
        <v>3</v>
      </c>
      <c r="C82" t="s">
        <v>29</v>
      </c>
      <c r="D82">
        <v>2310.6650399999999</v>
      </c>
      <c r="E82">
        <v>1.8159999999999954E-2</v>
      </c>
      <c r="F82">
        <f t="shared" si="2"/>
        <v>18.159999999999954</v>
      </c>
      <c r="G82">
        <f t="shared" si="3"/>
        <v>127.23926431718093</v>
      </c>
      <c r="H82" t="s">
        <v>33</v>
      </c>
      <c r="J82">
        <v>213</v>
      </c>
      <c r="K82" t="s">
        <v>3</v>
      </c>
      <c r="L82" t="s">
        <v>29</v>
      </c>
      <c r="M82">
        <v>2310.6650399999999</v>
      </c>
      <c r="N82">
        <v>1.8159999999999999E-2</v>
      </c>
      <c r="O82">
        <v>18.16</v>
      </c>
      <c r="P82">
        <v>127.2392643</v>
      </c>
      <c r="Q82" t="s">
        <v>33</v>
      </c>
      <c r="S82">
        <v>213</v>
      </c>
      <c r="T82" t="s">
        <v>3</v>
      </c>
      <c r="U82" t="s">
        <v>29</v>
      </c>
      <c r="V82">
        <v>2310.6650399999999</v>
      </c>
      <c r="W82">
        <v>1.8159999999999999E-2</v>
      </c>
      <c r="X82">
        <v>18.16</v>
      </c>
      <c r="Y82">
        <v>127.2392643</v>
      </c>
    </row>
    <row r="83" spans="1:30" x14ac:dyDescent="0.2">
      <c r="A83">
        <v>216</v>
      </c>
      <c r="B83" t="s">
        <v>3</v>
      </c>
      <c r="C83" t="s">
        <v>35</v>
      </c>
      <c r="D83">
        <v>1336.04773</v>
      </c>
      <c r="E83">
        <v>1.8469999999998876E-2</v>
      </c>
      <c r="F83">
        <f t="shared" si="2"/>
        <v>18.469999999998876</v>
      </c>
      <c r="G83">
        <f t="shared" si="3"/>
        <v>72.336097996755896</v>
      </c>
      <c r="H83" t="s">
        <v>27</v>
      </c>
      <c r="J83">
        <v>216</v>
      </c>
      <c r="K83" t="s">
        <v>3</v>
      </c>
      <c r="L83" t="s">
        <v>35</v>
      </c>
      <c r="M83">
        <v>1336.04773</v>
      </c>
      <c r="N83">
        <v>1.847E-2</v>
      </c>
      <c r="O83">
        <v>18.47</v>
      </c>
      <c r="P83">
        <v>72.336098000000007</v>
      </c>
      <c r="Q83" t="s">
        <v>27</v>
      </c>
      <c r="S83">
        <v>216</v>
      </c>
      <c r="T83" t="s">
        <v>3</v>
      </c>
      <c r="U83" t="s">
        <v>35</v>
      </c>
      <c r="V83">
        <v>1336.04773</v>
      </c>
      <c r="W83">
        <v>1.847E-2</v>
      </c>
      <c r="X83">
        <v>18.47</v>
      </c>
      <c r="Y83">
        <v>72.336098000000007</v>
      </c>
      <c r="AB83" t="s">
        <v>203</v>
      </c>
    </row>
    <row r="84" spans="1:30" x14ac:dyDescent="0.2">
      <c r="A84">
        <v>217</v>
      </c>
      <c r="B84" t="s">
        <v>2</v>
      </c>
      <c r="C84" t="s">
        <v>25</v>
      </c>
      <c r="D84">
        <v>1088.6292699999999</v>
      </c>
      <c r="E84">
        <v>2.739000000000047E-2</v>
      </c>
      <c r="F84">
        <f t="shared" si="2"/>
        <v>27.39000000000047</v>
      </c>
      <c r="G84">
        <f t="shared" si="3"/>
        <v>39.745500912741193</v>
      </c>
      <c r="H84" t="s">
        <v>33</v>
      </c>
      <c r="J84">
        <v>217</v>
      </c>
      <c r="K84" t="s">
        <v>2</v>
      </c>
      <c r="L84" t="s">
        <v>25</v>
      </c>
      <c r="M84">
        <v>1088.6292699999999</v>
      </c>
      <c r="N84">
        <v>2.7390000000000001E-2</v>
      </c>
      <c r="O84">
        <v>27.39</v>
      </c>
      <c r="P84">
        <v>39.745500909999997</v>
      </c>
      <c r="Q84" t="s">
        <v>33</v>
      </c>
      <c r="S84">
        <v>217</v>
      </c>
      <c r="T84" t="s">
        <v>2</v>
      </c>
      <c r="U84" t="s">
        <v>25</v>
      </c>
      <c r="V84">
        <v>1088.6292699999999</v>
      </c>
      <c r="W84">
        <v>2.7390000000000001E-2</v>
      </c>
      <c r="X84">
        <v>27.39</v>
      </c>
      <c r="Y84">
        <v>39.745500909999997</v>
      </c>
    </row>
    <row r="85" spans="1:30" x14ac:dyDescent="0.2">
      <c r="A85">
        <v>218</v>
      </c>
      <c r="B85" t="s">
        <v>3</v>
      </c>
      <c r="C85" t="s">
        <v>29</v>
      </c>
      <c r="D85">
        <v>335.71033</v>
      </c>
      <c r="E85">
        <v>2.1160000000000068E-2</v>
      </c>
      <c r="F85">
        <f t="shared" si="2"/>
        <v>21.160000000000068</v>
      </c>
      <c r="G85">
        <f t="shared" si="3"/>
        <v>15.865327504725848</v>
      </c>
      <c r="H85" t="s">
        <v>33</v>
      </c>
      <c r="J85">
        <v>218</v>
      </c>
      <c r="K85" t="s">
        <v>3</v>
      </c>
      <c r="L85" t="s">
        <v>29</v>
      </c>
      <c r="M85">
        <v>335.71033</v>
      </c>
      <c r="N85">
        <v>2.1160000000000002E-2</v>
      </c>
      <c r="O85">
        <v>21.16</v>
      </c>
      <c r="P85">
        <v>15.865327499999999</v>
      </c>
      <c r="Q85" t="s">
        <v>33</v>
      </c>
      <c r="S85">
        <v>218</v>
      </c>
      <c r="T85" t="s">
        <v>3</v>
      </c>
      <c r="U85" t="s">
        <v>29</v>
      </c>
      <c r="V85">
        <v>335.71033</v>
      </c>
      <c r="W85">
        <v>2.1160000000000002E-2</v>
      </c>
      <c r="X85">
        <v>21.16</v>
      </c>
      <c r="Y85">
        <v>15.865327499999999</v>
      </c>
      <c r="AB85" t="s">
        <v>204</v>
      </c>
      <c r="AC85" t="s">
        <v>205</v>
      </c>
      <c r="AD85" t="s">
        <v>206</v>
      </c>
    </row>
    <row r="86" spans="1:30" x14ac:dyDescent="0.2">
      <c r="A86">
        <v>219</v>
      </c>
      <c r="B86" t="s">
        <v>2</v>
      </c>
      <c r="C86" t="s">
        <v>29</v>
      </c>
      <c r="D86">
        <v>2074.0974099999999</v>
      </c>
      <c r="E86">
        <v>2.25799999999996E-2</v>
      </c>
      <c r="F86">
        <f t="shared" si="2"/>
        <v>22.5799999999996</v>
      </c>
      <c r="G86">
        <f t="shared" si="3"/>
        <v>91.855509743137134</v>
      </c>
      <c r="H86" t="s">
        <v>33</v>
      </c>
      <c r="J86">
        <v>219</v>
      </c>
      <c r="K86" t="s">
        <v>2</v>
      </c>
      <c r="L86" t="s">
        <v>29</v>
      </c>
      <c r="M86">
        <v>2074.0974099999999</v>
      </c>
      <c r="N86">
        <v>2.2579999999999999E-2</v>
      </c>
      <c r="O86">
        <v>22.58</v>
      </c>
      <c r="P86">
        <v>91.855509740000002</v>
      </c>
      <c r="Q86" t="s">
        <v>33</v>
      </c>
      <c r="S86">
        <v>219</v>
      </c>
      <c r="T86" t="s">
        <v>2</v>
      </c>
      <c r="U86" t="s">
        <v>29</v>
      </c>
      <c r="V86">
        <v>2074.0974099999999</v>
      </c>
      <c r="W86">
        <v>2.2579999999999999E-2</v>
      </c>
      <c r="X86">
        <v>22.58</v>
      </c>
      <c r="Y86">
        <v>91.855509740000002</v>
      </c>
      <c r="AB86">
        <v>525</v>
      </c>
      <c r="AC86">
        <v>-0.69381000000000004</v>
      </c>
      <c r="AD86">
        <v>0.48780000000000001</v>
      </c>
    </row>
    <row r="87" spans="1:30" x14ac:dyDescent="0.2">
      <c r="A87">
        <v>220</v>
      </c>
      <c r="B87" t="s">
        <v>2</v>
      </c>
      <c r="C87" t="s">
        <v>25</v>
      </c>
      <c r="D87">
        <v>12619.3</v>
      </c>
      <c r="E87">
        <v>2.289999999999992E-2</v>
      </c>
      <c r="F87">
        <f t="shared" si="2"/>
        <v>22.89999999999992</v>
      </c>
      <c r="G87">
        <f t="shared" si="3"/>
        <v>551.06113537118097</v>
      </c>
      <c r="H87" t="s">
        <v>27</v>
      </c>
      <c r="J87">
        <v>220</v>
      </c>
      <c r="K87" t="s">
        <v>2</v>
      </c>
      <c r="L87" t="s">
        <v>25</v>
      </c>
      <c r="M87">
        <v>12619.3</v>
      </c>
      <c r="N87">
        <v>2.29E-2</v>
      </c>
      <c r="O87">
        <v>22.9</v>
      </c>
      <c r="P87">
        <v>551.06113540000001</v>
      </c>
      <c r="Q87" t="s">
        <v>27</v>
      </c>
      <c r="S87">
        <v>220</v>
      </c>
      <c r="T87" t="s">
        <v>2</v>
      </c>
      <c r="U87" t="s">
        <v>25</v>
      </c>
      <c r="V87">
        <v>12619.3</v>
      </c>
      <c r="W87">
        <v>2.29E-2</v>
      </c>
      <c r="X87">
        <v>22.9</v>
      </c>
      <c r="Y87">
        <v>551.06113540000001</v>
      </c>
    </row>
    <row r="88" spans="1:30" x14ac:dyDescent="0.2">
      <c r="A88">
        <v>224</v>
      </c>
      <c r="B88" t="s">
        <v>2</v>
      </c>
      <c r="C88" t="s">
        <v>25</v>
      </c>
      <c r="D88">
        <v>958.42364999999995</v>
      </c>
      <c r="E88">
        <v>2.2640000000000882E-2</v>
      </c>
      <c r="F88">
        <f t="shared" si="2"/>
        <v>22.640000000000882</v>
      </c>
      <c r="G88">
        <f t="shared" si="3"/>
        <v>42.33320008833757</v>
      </c>
      <c r="H88" t="s">
        <v>27</v>
      </c>
      <c r="J88">
        <v>224</v>
      </c>
      <c r="K88" t="s">
        <v>2</v>
      </c>
      <c r="L88" t="s">
        <v>25</v>
      </c>
      <c r="M88">
        <v>958.42364999999995</v>
      </c>
      <c r="N88">
        <v>2.264E-2</v>
      </c>
      <c r="O88">
        <v>22.64</v>
      </c>
      <c r="P88">
        <v>42.333200089999998</v>
      </c>
      <c r="Q88" t="s">
        <v>27</v>
      </c>
      <c r="S88">
        <v>224</v>
      </c>
      <c r="T88" t="s">
        <v>2</v>
      </c>
      <c r="U88" t="s">
        <v>25</v>
      </c>
      <c r="V88">
        <v>958.42364999999995</v>
      </c>
      <c r="W88">
        <v>2.264E-2</v>
      </c>
      <c r="X88">
        <v>22.64</v>
      </c>
      <c r="Y88">
        <v>42.333200089999998</v>
      </c>
    </row>
    <row r="89" spans="1:30" x14ac:dyDescent="0.2">
      <c r="A89">
        <v>225</v>
      </c>
      <c r="B89" t="s">
        <v>3</v>
      </c>
      <c r="C89" t="s">
        <v>29</v>
      </c>
      <c r="D89">
        <v>1836.8470500000001</v>
      </c>
      <c r="E89">
        <v>1.7679999999998586E-2</v>
      </c>
      <c r="F89">
        <f t="shared" si="2"/>
        <v>17.679999999998586</v>
      </c>
      <c r="G89">
        <f t="shared" si="3"/>
        <v>103.89406391403547</v>
      </c>
      <c r="H89" t="s">
        <v>33</v>
      </c>
      <c r="J89">
        <v>225</v>
      </c>
      <c r="K89" t="s">
        <v>3</v>
      </c>
      <c r="L89" t="s">
        <v>29</v>
      </c>
      <c r="M89">
        <v>1836.8470500000001</v>
      </c>
      <c r="N89">
        <v>1.7680000000000001E-2</v>
      </c>
      <c r="O89">
        <v>17.68</v>
      </c>
      <c r="P89">
        <v>103.89406390000001</v>
      </c>
      <c r="Q89" t="s">
        <v>33</v>
      </c>
      <c r="S89">
        <v>225</v>
      </c>
      <c r="T89" t="s">
        <v>3</v>
      </c>
      <c r="U89" t="s">
        <v>29</v>
      </c>
      <c r="V89">
        <v>1836.8470500000001</v>
      </c>
      <c r="W89">
        <v>1.7680000000000001E-2</v>
      </c>
      <c r="X89">
        <v>17.68</v>
      </c>
      <c r="Y89">
        <v>103.89406390000001</v>
      </c>
    </row>
    <row r="90" spans="1:30" x14ac:dyDescent="0.2">
      <c r="A90">
        <v>229</v>
      </c>
      <c r="B90" t="s">
        <v>3</v>
      </c>
      <c r="C90" t="s">
        <v>29</v>
      </c>
      <c r="D90">
        <v>822.33667000000003</v>
      </c>
      <c r="E90">
        <v>2.1209999999999951E-2</v>
      </c>
      <c r="F90">
        <f t="shared" si="2"/>
        <v>21.209999999999951</v>
      </c>
      <c r="G90">
        <f t="shared" si="3"/>
        <v>38.771177274870432</v>
      </c>
      <c r="H90" t="s">
        <v>27</v>
      </c>
      <c r="J90">
        <v>229</v>
      </c>
      <c r="K90" t="s">
        <v>3</v>
      </c>
      <c r="L90" t="s">
        <v>29</v>
      </c>
      <c r="M90">
        <v>822.33667000000003</v>
      </c>
      <c r="N90">
        <v>2.121E-2</v>
      </c>
      <c r="O90">
        <v>21.21</v>
      </c>
      <c r="P90">
        <v>38.771177270000003</v>
      </c>
      <c r="Q90" t="s">
        <v>27</v>
      </c>
      <c r="S90">
        <v>229</v>
      </c>
      <c r="T90" t="s">
        <v>3</v>
      </c>
      <c r="U90" t="s">
        <v>29</v>
      </c>
      <c r="V90">
        <v>822.33667000000003</v>
      </c>
      <c r="W90">
        <v>2.121E-2</v>
      </c>
      <c r="X90">
        <v>21.21</v>
      </c>
      <c r="Y90">
        <v>38.771177270000003</v>
      </c>
    </row>
    <row r="91" spans="1:30" x14ac:dyDescent="0.2">
      <c r="A91">
        <v>230</v>
      </c>
      <c r="B91" t="s">
        <v>3</v>
      </c>
      <c r="C91" t="s">
        <v>35</v>
      </c>
      <c r="D91">
        <v>764.24303999999995</v>
      </c>
      <c r="E91">
        <v>1.6740000000000421E-2</v>
      </c>
      <c r="F91">
        <f t="shared" si="2"/>
        <v>16.740000000000421</v>
      </c>
      <c r="G91">
        <f t="shared" si="3"/>
        <v>45.653706093188809</v>
      </c>
      <c r="H91" t="s">
        <v>33</v>
      </c>
      <c r="J91">
        <v>230</v>
      </c>
      <c r="K91" t="s">
        <v>3</v>
      </c>
      <c r="L91" t="s">
        <v>35</v>
      </c>
      <c r="M91">
        <v>764.24303999999995</v>
      </c>
      <c r="N91">
        <v>1.6740000000000001E-2</v>
      </c>
      <c r="O91">
        <v>16.739999999999998</v>
      </c>
      <c r="P91">
        <v>45.65370609</v>
      </c>
      <c r="Q91" t="s">
        <v>33</v>
      </c>
      <c r="S91">
        <v>230</v>
      </c>
      <c r="T91" t="s">
        <v>3</v>
      </c>
      <c r="U91" t="s">
        <v>35</v>
      </c>
      <c r="V91">
        <v>764.24303999999995</v>
      </c>
      <c r="W91">
        <v>1.6740000000000001E-2</v>
      </c>
      <c r="X91">
        <v>16.739999999999998</v>
      </c>
      <c r="Y91">
        <v>45.65370609</v>
      </c>
      <c r="AB91" t="s">
        <v>198</v>
      </c>
    </row>
    <row r="92" spans="1:30" x14ac:dyDescent="0.2">
      <c r="A92">
        <v>233</v>
      </c>
      <c r="B92" s="10" t="s">
        <v>3</v>
      </c>
      <c r="C92" s="10" t="s">
        <v>29</v>
      </c>
      <c r="D92">
        <v>371.37204000000003</v>
      </c>
      <c r="E92">
        <v>1.8400000000001526E-2</v>
      </c>
      <c r="F92">
        <f t="shared" si="2"/>
        <v>18.400000000001526</v>
      </c>
      <c r="G92">
        <f t="shared" si="3"/>
        <v>20.18326304347659</v>
      </c>
      <c r="H92" t="s">
        <v>27</v>
      </c>
      <c r="J92">
        <v>233</v>
      </c>
      <c r="K92" t="s">
        <v>3</v>
      </c>
      <c r="L92" t="s">
        <v>29</v>
      </c>
      <c r="M92">
        <v>371.37204000000003</v>
      </c>
      <c r="N92">
        <v>1.84E-2</v>
      </c>
      <c r="O92">
        <v>18.399999999999999</v>
      </c>
      <c r="P92">
        <v>20.18326304</v>
      </c>
      <c r="Q92" t="s">
        <v>27</v>
      </c>
      <c r="S92">
        <v>233</v>
      </c>
      <c r="T92" t="s">
        <v>3</v>
      </c>
      <c r="U92" t="s">
        <v>29</v>
      </c>
      <c r="V92">
        <v>371.37204000000003</v>
      </c>
      <c r="W92">
        <v>1.84E-2</v>
      </c>
      <c r="X92">
        <v>18.399999999999999</v>
      </c>
      <c r="Y92">
        <v>20.18326304</v>
      </c>
    </row>
    <row r="93" spans="1:30" x14ac:dyDescent="0.2">
      <c r="A93" s="10">
        <v>234</v>
      </c>
      <c r="B93" t="s">
        <v>3</v>
      </c>
      <c r="C93" t="s">
        <v>35</v>
      </c>
      <c r="D93">
        <v>2969.64795</v>
      </c>
      <c r="E93">
        <v>1.775999999999911E-2</v>
      </c>
      <c r="F93">
        <f t="shared" si="2"/>
        <v>17.75999999999911</v>
      </c>
      <c r="G93">
        <f t="shared" si="3"/>
        <v>167.20990709460298</v>
      </c>
      <c r="H93" s="10" t="s">
        <v>33</v>
      </c>
      <c r="J93">
        <v>234</v>
      </c>
      <c r="K93" t="s">
        <v>3</v>
      </c>
      <c r="L93" t="s">
        <v>35</v>
      </c>
      <c r="M93">
        <v>2969.64795</v>
      </c>
      <c r="N93">
        <v>1.7760000000000001E-2</v>
      </c>
      <c r="O93">
        <v>17.760000000000002</v>
      </c>
      <c r="P93">
        <v>167.20990710000001</v>
      </c>
      <c r="Q93" s="10" t="s">
        <v>33</v>
      </c>
      <c r="S93">
        <v>234</v>
      </c>
      <c r="T93" t="s">
        <v>3</v>
      </c>
      <c r="U93" t="s">
        <v>35</v>
      </c>
      <c r="V93">
        <v>2969.64795</v>
      </c>
      <c r="W93">
        <v>1.7760000000000001E-2</v>
      </c>
      <c r="X93">
        <v>17.760000000000002</v>
      </c>
      <c r="Y93">
        <v>167.20990710000001</v>
      </c>
      <c r="AB93" t="s">
        <v>199</v>
      </c>
      <c r="AC93" t="s">
        <v>114</v>
      </c>
      <c r="AD93" t="s">
        <v>200</v>
      </c>
    </row>
    <row r="94" spans="1:30" x14ac:dyDescent="0.2">
      <c r="A94">
        <v>235</v>
      </c>
      <c r="B94" t="s">
        <v>3</v>
      </c>
      <c r="C94" t="s">
        <v>35</v>
      </c>
      <c r="D94">
        <v>212.86619999999999</v>
      </c>
      <c r="E94">
        <v>2.023999999999937E-2</v>
      </c>
      <c r="F94">
        <f t="shared" si="2"/>
        <v>20.23999999999937</v>
      </c>
      <c r="G94">
        <f t="shared" si="3"/>
        <v>10.517104743083332</v>
      </c>
      <c r="H94" t="s">
        <v>27</v>
      </c>
      <c r="J94">
        <v>235</v>
      </c>
      <c r="K94" t="s">
        <v>3</v>
      </c>
      <c r="L94" t="s">
        <v>35</v>
      </c>
      <c r="M94">
        <v>212.86619999999999</v>
      </c>
      <c r="N94">
        <v>2.0240000000000001E-2</v>
      </c>
      <c r="O94">
        <v>20.239999999999998</v>
      </c>
      <c r="P94">
        <v>10.517104740000001</v>
      </c>
      <c r="Q94" t="s">
        <v>27</v>
      </c>
      <c r="S94">
        <v>235</v>
      </c>
      <c r="T94" t="s">
        <v>3</v>
      </c>
      <c r="U94" t="s">
        <v>35</v>
      </c>
      <c r="V94">
        <v>212.86619999999999</v>
      </c>
      <c r="W94">
        <v>2.0240000000000001E-2</v>
      </c>
      <c r="X94">
        <v>20.239999999999998</v>
      </c>
      <c r="Y94">
        <v>10.517104740000001</v>
      </c>
      <c r="AB94">
        <v>0.495</v>
      </c>
      <c r="AC94">
        <v>1</v>
      </c>
      <c r="AD94" s="23">
        <v>0.48170000000000002</v>
      </c>
    </row>
    <row r="95" spans="1:30" x14ac:dyDescent="0.2">
      <c r="A95">
        <v>236</v>
      </c>
      <c r="B95" t="s">
        <v>3</v>
      </c>
      <c r="C95" t="s">
        <v>29</v>
      </c>
      <c r="D95">
        <v>5461.5512699999999</v>
      </c>
      <c r="E95">
        <v>1.7870000000000275E-2</v>
      </c>
      <c r="F95">
        <f t="shared" si="2"/>
        <v>17.870000000000275</v>
      </c>
      <c r="G95">
        <f t="shared" si="3"/>
        <v>305.6268198097323</v>
      </c>
      <c r="H95" t="s">
        <v>27</v>
      </c>
      <c r="J95">
        <v>236</v>
      </c>
      <c r="K95" t="s">
        <v>3</v>
      </c>
      <c r="L95" t="s">
        <v>29</v>
      </c>
      <c r="M95">
        <v>5461.5512699999999</v>
      </c>
      <c r="N95">
        <v>1.787E-2</v>
      </c>
      <c r="O95">
        <v>17.87</v>
      </c>
      <c r="P95">
        <v>305.62681980000002</v>
      </c>
      <c r="Q95" t="s">
        <v>27</v>
      </c>
      <c r="S95">
        <v>236</v>
      </c>
      <c r="T95" t="s">
        <v>3</v>
      </c>
      <c r="U95" t="s">
        <v>29</v>
      </c>
      <c r="V95">
        <v>5461.5512699999999</v>
      </c>
      <c r="W95">
        <v>1.787E-2</v>
      </c>
      <c r="X95">
        <v>17.87</v>
      </c>
      <c r="Y95">
        <v>305.62681980000002</v>
      </c>
    </row>
    <row r="96" spans="1:30" x14ac:dyDescent="0.2">
      <c r="A96">
        <v>244</v>
      </c>
      <c r="B96" t="s">
        <v>3</v>
      </c>
      <c r="C96" t="s">
        <v>25</v>
      </c>
      <c r="D96">
        <v>1218.41272</v>
      </c>
      <c r="E96">
        <v>1.8779999999999575E-2</v>
      </c>
      <c r="F96">
        <f t="shared" si="2"/>
        <v>18.779999999999575</v>
      </c>
      <c r="G96">
        <f t="shared" si="3"/>
        <v>64.878206602770376</v>
      </c>
      <c r="H96" t="s">
        <v>33</v>
      </c>
      <c r="J96">
        <v>244</v>
      </c>
      <c r="K96" t="s">
        <v>3</v>
      </c>
      <c r="L96" t="s">
        <v>25</v>
      </c>
      <c r="M96">
        <v>1218.41272</v>
      </c>
      <c r="N96">
        <v>1.8780000000000002E-2</v>
      </c>
      <c r="O96">
        <v>18.78</v>
      </c>
      <c r="P96">
        <v>64.878206599999999</v>
      </c>
      <c r="Q96" t="s">
        <v>33</v>
      </c>
      <c r="S96">
        <v>244</v>
      </c>
      <c r="T96" t="s">
        <v>3</v>
      </c>
      <c r="U96" t="s">
        <v>25</v>
      </c>
      <c r="V96">
        <v>1218.41272</v>
      </c>
      <c r="W96">
        <v>1.8780000000000002E-2</v>
      </c>
      <c r="X96">
        <v>18.78</v>
      </c>
      <c r="Y96">
        <v>64.878206599999999</v>
      </c>
    </row>
    <row r="97" spans="1:42" x14ac:dyDescent="0.2">
      <c r="A97">
        <v>245</v>
      </c>
      <c r="B97" t="s">
        <v>3</v>
      </c>
      <c r="C97" t="s">
        <v>29</v>
      </c>
      <c r="D97">
        <v>802.24701000000005</v>
      </c>
      <c r="E97">
        <v>2.6819999999998956E-2</v>
      </c>
      <c r="F97">
        <f t="shared" si="2"/>
        <v>26.819999999998956</v>
      </c>
      <c r="G97">
        <f t="shared" si="3"/>
        <v>29.912267337808771</v>
      </c>
      <c r="H97" t="s">
        <v>27</v>
      </c>
      <c r="J97">
        <v>245</v>
      </c>
      <c r="K97" t="s">
        <v>3</v>
      </c>
      <c r="L97" t="s">
        <v>29</v>
      </c>
      <c r="M97">
        <v>802.24701000000005</v>
      </c>
      <c r="N97">
        <v>2.682E-2</v>
      </c>
      <c r="O97">
        <v>26.82</v>
      </c>
      <c r="P97">
        <v>29.91226734</v>
      </c>
      <c r="Q97" t="s">
        <v>27</v>
      </c>
      <c r="S97">
        <v>245</v>
      </c>
      <c r="T97" t="s">
        <v>3</v>
      </c>
      <c r="U97" t="s">
        <v>29</v>
      </c>
      <c r="V97">
        <v>802.24701000000005</v>
      </c>
      <c r="W97">
        <v>2.682E-2</v>
      </c>
      <c r="X97">
        <v>26.82</v>
      </c>
      <c r="Y97">
        <v>29.91226734</v>
      </c>
    </row>
    <row r="98" spans="1:42" x14ac:dyDescent="0.2">
      <c r="A98">
        <v>248</v>
      </c>
      <c r="B98" t="s">
        <v>2</v>
      </c>
      <c r="C98" t="s">
        <v>29</v>
      </c>
      <c r="D98">
        <v>726.42040999999995</v>
      </c>
      <c r="E98">
        <v>1.9429999999999836E-2</v>
      </c>
      <c r="F98">
        <f t="shared" si="2"/>
        <v>19.429999999999836</v>
      </c>
      <c r="G98">
        <f t="shared" si="3"/>
        <v>37.386536798765107</v>
      </c>
      <c r="H98" t="s">
        <v>33</v>
      </c>
      <c r="J98">
        <v>248</v>
      </c>
      <c r="K98" t="s">
        <v>2</v>
      </c>
      <c r="L98" t="s">
        <v>29</v>
      </c>
      <c r="M98">
        <v>726.42040999999995</v>
      </c>
      <c r="N98">
        <v>1.9429999999999999E-2</v>
      </c>
      <c r="O98">
        <v>19.43</v>
      </c>
      <c r="P98">
        <v>37.386536800000002</v>
      </c>
      <c r="Q98" t="s">
        <v>33</v>
      </c>
      <c r="S98">
        <v>248</v>
      </c>
      <c r="T98" t="s">
        <v>2</v>
      </c>
      <c r="U98" t="s">
        <v>29</v>
      </c>
      <c r="V98">
        <v>726.42040999999995</v>
      </c>
      <c r="W98">
        <v>1.9429999999999999E-2</v>
      </c>
      <c r="X98">
        <v>19.43</v>
      </c>
      <c r="Y98">
        <v>37.386536800000002</v>
      </c>
    </row>
    <row r="99" spans="1:42" x14ac:dyDescent="0.2">
      <c r="A99">
        <v>251</v>
      </c>
      <c r="B99" t="s">
        <v>2</v>
      </c>
      <c r="C99" t="s">
        <v>35</v>
      </c>
      <c r="D99">
        <v>256.53008999999997</v>
      </c>
      <c r="E99">
        <v>2.1380000000000621E-2</v>
      </c>
      <c r="F99">
        <f t="shared" si="2"/>
        <v>21.380000000000621</v>
      </c>
      <c r="G99">
        <f t="shared" si="3"/>
        <v>11.998601028998715</v>
      </c>
      <c r="H99" t="s">
        <v>33</v>
      </c>
      <c r="J99">
        <v>251</v>
      </c>
      <c r="K99" t="s">
        <v>2</v>
      </c>
      <c r="L99" t="s">
        <v>35</v>
      </c>
      <c r="M99">
        <v>256.53008999999997</v>
      </c>
      <c r="N99">
        <v>2.138E-2</v>
      </c>
      <c r="O99">
        <v>21.38</v>
      </c>
      <c r="P99">
        <v>11.99860103</v>
      </c>
      <c r="Q99" t="s">
        <v>33</v>
      </c>
      <c r="S99">
        <v>251</v>
      </c>
      <c r="T99" t="s">
        <v>2</v>
      </c>
      <c r="U99" t="s">
        <v>35</v>
      </c>
      <c r="V99">
        <v>256.53008999999997</v>
      </c>
      <c r="W99">
        <v>2.138E-2</v>
      </c>
      <c r="X99">
        <v>21.38</v>
      </c>
      <c r="Y99">
        <v>11.99860103</v>
      </c>
    </row>
    <row r="100" spans="1:42" x14ac:dyDescent="0.2">
      <c r="A100">
        <v>252</v>
      </c>
      <c r="B100" t="s">
        <v>2</v>
      </c>
      <c r="C100" t="s">
        <v>35</v>
      </c>
      <c r="D100">
        <v>11971.2</v>
      </c>
      <c r="E100">
        <v>2.4550000000001404E-2</v>
      </c>
      <c r="F100">
        <f t="shared" si="2"/>
        <v>24.550000000001404</v>
      </c>
      <c r="G100" s="23">
        <f t="shared" si="3"/>
        <v>487.62525458245688</v>
      </c>
      <c r="H100" t="s">
        <v>27</v>
      </c>
      <c r="J100">
        <v>252</v>
      </c>
      <c r="K100" t="s">
        <v>2</v>
      </c>
      <c r="L100" t="s">
        <v>35</v>
      </c>
      <c r="M100">
        <v>11971.2</v>
      </c>
      <c r="N100">
        <v>2.4549999999999999E-2</v>
      </c>
      <c r="O100">
        <v>24.55</v>
      </c>
      <c r="Q100" t="s">
        <v>27</v>
      </c>
      <c r="S100">
        <v>252</v>
      </c>
      <c r="T100" t="s">
        <v>2</v>
      </c>
      <c r="U100" t="s">
        <v>35</v>
      </c>
      <c r="V100">
        <v>11971.2</v>
      </c>
      <c r="W100">
        <v>2.4549999999999999E-2</v>
      </c>
      <c r="X100">
        <v>24.55</v>
      </c>
      <c r="AO100" t="s">
        <v>89</v>
      </c>
    </row>
    <row r="101" spans="1:42" x14ac:dyDescent="0.2">
      <c r="A101">
        <v>253</v>
      </c>
      <c r="B101" t="s">
        <v>2</v>
      </c>
      <c r="C101" t="s">
        <v>25</v>
      </c>
      <c r="D101">
        <v>6531.58691</v>
      </c>
      <c r="E101">
        <v>2.1530000000000271E-2</v>
      </c>
      <c r="F101">
        <f t="shared" si="2"/>
        <v>21.530000000000271</v>
      </c>
      <c r="G101">
        <f t="shared" si="3"/>
        <v>303.37143102647087</v>
      </c>
      <c r="H101" t="s">
        <v>27</v>
      </c>
      <c r="J101">
        <v>253</v>
      </c>
      <c r="K101" t="s">
        <v>2</v>
      </c>
      <c r="L101" t="s">
        <v>25</v>
      </c>
      <c r="M101">
        <v>6531.58691</v>
      </c>
      <c r="N101">
        <v>2.1530000000000001E-2</v>
      </c>
      <c r="O101">
        <v>21.53</v>
      </c>
      <c r="P101">
        <v>303.37143099999997</v>
      </c>
      <c r="Q101" t="s">
        <v>27</v>
      </c>
      <c r="S101">
        <v>253</v>
      </c>
      <c r="T101" t="s">
        <v>2</v>
      </c>
      <c r="U101" t="s">
        <v>25</v>
      </c>
      <c r="V101">
        <v>6531.58691</v>
      </c>
      <c r="W101">
        <v>2.1530000000000001E-2</v>
      </c>
      <c r="X101">
        <v>21.53</v>
      </c>
      <c r="Y101">
        <v>303.37143099999997</v>
      </c>
    </row>
    <row r="102" spans="1:42" x14ac:dyDescent="0.2">
      <c r="A102">
        <v>261</v>
      </c>
      <c r="B102" t="s">
        <v>3</v>
      </c>
      <c r="C102" t="s">
        <v>35</v>
      </c>
      <c r="D102">
        <v>1435.1716300000001</v>
      </c>
      <c r="E102">
        <v>2.7510000000001256E-2</v>
      </c>
      <c r="F102">
        <f t="shared" si="2"/>
        <v>27.510000000001256</v>
      </c>
      <c r="G102">
        <f t="shared" si="3"/>
        <v>52.169088695017614</v>
      </c>
      <c r="H102" t="s">
        <v>27</v>
      </c>
      <c r="J102">
        <v>261</v>
      </c>
      <c r="K102" t="s">
        <v>3</v>
      </c>
      <c r="L102" t="s">
        <v>35</v>
      </c>
      <c r="M102">
        <v>1435.1716300000001</v>
      </c>
      <c r="N102">
        <v>2.751E-2</v>
      </c>
      <c r="O102">
        <v>27.51</v>
      </c>
      <c r="P102">
        <v>52.169088700000003</v>
      </c>
      <c r="Q102" t="s">
        <v>27</v>
      </c>
      <c r="S102">
        <v>261</v>
      </c>
      <c r="T102" t="s">
        <v>3</v>
      </c>
      <c r="U102" t="s">
        <v>35</v>
      </c>
      <c r="V102">
        <v>1435.1716300000001</v>
      </c>
      <c r="W102">
        <v>2.751E-2</v>
      </c>
      <c r="X102">
        <v>27.51</v>
      </c>
      <c r="Y102">
        <v>52.169088700000003</v>
      </c>
    </row>
    <row r="103" spans="1:42" x14ac:dyDescent="0.2">
      <c r="A103">
        <v>262</v>
      </c>
      <c r="B103" t="s">
        <v>3</v>
      </c>
      <c r="C103" t="s">
        <v>25</v>
      </c>
      <c r="D103">
        <v>1626.9748500000001</v>
      </c>
      <c r="E103">
        <v>2.4510000000001142E-2</v>
      </c>
      <c r="F103">
        <f t="shared" si="2"/>
        <v>24.510000000001142</v>
      </c>
      <c r="G103">
        <f t="shared" si="3"/>
        <v>66.380042839654195</v>
      </c>
      <c r="H103" t="s">
        <v>27</v>
      </c>
      <c r="J103">
        <v>262</v>
      </c>
      <c r="K103" t="s">
        <v>3</v>
      </c>
      <c r="L103" t="s">
        <v>25</v>
      </c>
      <c r="M103">
        <v>1626.9748500000001</v>
      </c>
      <c r="N103">
        <v>2.4510000000000001E-2</v>
      </c>
      <c r="O103">
        <v>24.51</v>
      </c>
      <c r="P103">
        <v>66.380042840000002</v>
      </c>
      <c r="Q103" t="s">
        <v>27</v>
      </c>
      <c r="S103">
        <v>262</v>
      </c>
      <c r="T103" t="s">
        <v>3</v>
      </c>
      <c r="U103" t="s">
        <v>25</v>
      </c>
      <c r="V103">
        <v>1626.9748500000001</v>
      </c>
      <c r="W103">
        <v>2.4510000000000001E-2</v>
      </c>
      <c r="X103">
        <v>24.51</v>
      </c>
      <c r="Y103">
        <v>66.380042840000002</v>
      </c>
      <c r="AO103" t="s">
        <v>60</v>
      </c>
    </row>
    <row r="104" spans="1:42" x14ac:dyDescent="0.2">
      <c r="A104">
        <v>265</v>
      </c>
      <c r="B104" t="s">
        <v>2</v>
      </c>
      <c r="C104" t="s">
        <v>25</v>
      </c>
      <c r="D104">
        <v>5738.5146500000001</v>
      </c>
      <c r="E104">
        <v>1.7819999999998615E-2</v>
      </c>
      <c r="F104">
        <f t="shared" si="2"/>
        <v>17.819999999998615</v>
      </c>
      <c r="G104">
        <f t="shared" si="3"/>
        <v>322.02663580249418</v>
      </c>
      <c r="H104" t="s">
        <v>33</v>
      </c>
      <c r="J104">
        <v>265</v>
      </c>
      <c r="K104" t="s">
        <v>2</v>
      </c>
      <c r="L104" t="s">
        <v>25</v>
      </c>
      <c r="M104">
        <v>5738.5146500000001</v>
      </c>
      <c r="N104">
        <v>1.7819999999999999E-2</v>
      </c>
      <c r="O104">
        <v>17.82</v>
      </c>
      <c r="P104">
        <v>322.02663580000001</v>
      </c>
      <c r="Q104" t="s">
        <v>33</v>
      </c>
      <c r="S104">
        <v>265</v>
      </c>
      <c r="T104" t="s">
        <v>2</v>
      </c>
      <c r="U104" t="s">
        <v>25</v>
      </c>
      <c r="V104">
        <v>5738.5146500000001</v>
      </c>
      <c r="W104">
        <v>1.7819999999999999E-2</v>
      </c>
      <c r="X104">
        <v>17.82</v>
      </c>
      <c r="Y104">
        <v>322.02663580000001</v>
      </c>
    </row>
    <row r="105" spans="1:42" x14ac:dyDescent="0.2">
      <c r="A105">
        <v>266</v>
      </c>
      <c r="B105" t="s">
        <v>3</v>
      </c>
      <c r="C105" t="s">
        <v>25</v>
      </c>
      <c r="D105">
        <v>5154.5234399999999</v>
      </c>
      <c r="E105">
        <v>2.3859999999999104E-2</v>
      </c>
      <c r="F105">
        <f t="shared" si="2"/>
        <v>23.859999999999104</v>
      </c>
      <c r="G105">
        <f t="shared" si="3"/>
        <v>216.03199664711624</v>
      </c>
      <c r="H105" t="s">
        <v>33</v>
      </c>
      <c r="J105">
        <v>266</v>
      </c>
      <c r="K105" t="s">
        <v>3</v>
      </c>
      <c r="L105" t="s">
        <v>25</v>
      </c>
      <c r="M105">
        <v>5154.5234399999999</v>
      </c>
      <c r="N105">
        <v>2.3859999999999999E-2</v>
      </c>
      <c r="O105">
        <v>23.86</v>
      </c>
      <c r="P105">
        <v>216.03199660000001</v>
      </c>
      <c r="Q105" t="s">
        <v>33</v>
      </c>
      <c r="S105">
        <v>266</v>
      </c>
      <c r="T105" t="s">
        <v>3</v>
      </c>
      <c r="U105" t="s">
        <v>25</v>
      </c>
      <c r="V105">
        <v>5154.5234399999999</v>
      </c>
      <c r="W105">
        <v>2.3859999999999999E-2</v>
      </c>
      <c r="X105">
        <v>23.86</v>
      </c>
      <c r="Y105">
        <v>216.03199660000001</v>
      </c>
    </row>
    <row r="106" spans="1:42" x14ac:dyDescent="0.2">
      <c r="A106">
        <v>267</v>
      </c>
      <c r="B106" t="s">
        <v>2</v>
      </c>
      <c r="C106" t="s">
        <v>29</v>
      </c>
      <c r="D106">
        <v>5187.3833000000004</v>
      </c>
      <c r="E106">
        <v>2.0500000000000185E-2</v>
      </c>
      <c r="F106">
        <f t="shared" si="2"/>
        <v>20.500000000000185</v>
      </c>
      <c r="G106">
        <f t="shared" si="3"/>
        <v>253.0430878048758</v>
      </c>
      <c r="H106" t="s">
        <v>33</v>
      </c>
      <c r="J106">
        <v>267</v>
      </c>
      <c r="K106" t="s">
        <v>2</v>
      </c>
      <c r="L106" t="s">
        <v>29</v>
      </c>
      <c r="M106">
        <v>5187.3833000000004</v>
      </c>
      <c r="N106">
        <v>2.0500000000000001E-2</v>
      </c>
      <c r="O106">
        <v>20.5</v>
      </c>
      <c r="P106">
        <v>253.0430878</v>
      </c>
      <c r="Q106" t="s">
        <v>33</v>
      </c>
      <c r="S106">
        <v>267</v>
      </c>
      <c r="T106" t="s">
        <v>2</v>
      </c>
      <c r="U106" t="s">
        <v>29</v>
      </c>
      <c r="V106">
        <v>5187.3833000000004</v>
      </c>
      <c r="W106">
        <v>2.0500000000000001E-2</v>
      </c>
      <c r="X106">
        <v>20.5</v>
      </c>
      <c r="Y106">
        <v>253.0430878</v>
      </c>
    </row>
    <row r="107" spans="1:42" x14ac:dyDescent="0.2">
      <c r="A107">
        <v>268</v>
      </c>
      <c r="B107" t="s">
        <v>3</v>
      </c>
      <c r="C107" t="s">
        <v>29</v>
      </c>
      <c r="D107">
        <v>5863.1367200000004</v>
      </c>
      <c r="E107">
        <v>2.2819999999999396E-2</v>
      </c>
      <c r="F107">
        <f t="shared" si="2"/>
        <v>22.819999999999396</v>
      </c>
      <c r="G107">
        <f t="shared" si="3"/>
        <v>256.92974233129513</v>
      </c>
      <c r="H107" t="s">
        <v>27</v>
      </c>
      <c r="J107">
        <v>268</v>
      </c>
      <c r="K107" t="s">
        <v>3</v>
      </c>
      <c r="L107" t="s">
        <v>29</v>
      </c>
      <c r="M107">
        <v>5863.1367200000004</v>
      </c>
      <c r="N107">
        <v>2.282E-2</v>
      </c>
      <c r="O107">
        <v>22.82</v>
      </c>
      <c r="P107">
        <v>256.92974229999999</v>
      </c>
      <c r="Q107" t="s">
        <v>27</v>
      </c>
      <c r="S107">
        <v>268</v>
      </c>
      <c r="T107" t="s">
        <v>3</v>
      </c>
      <c r="U107" t="s">
        <v>29</v>
      </c>
      <c r="V107">
        <v>5863.1367200000004</v>
      </c>
      <c r="W107">
        <v>2.282E-2</v>
      </c>
      <c r="X107">
        <v>22.82</v>
      </c>
      <c r="Y107">
        <v>256.92974229999999</v>
      </c>
    </row>
    <row r="108" spans="1:42" x14ac:dyDescent="0.2">
      <c r="A108">
        <v>269</v>
      </c>
      <c r="B108" t="s">
        <v>3</v>
      </c>
      <c r="C108" t="s">
        <v>35</v>
      </c>
      <c r="D108">
        <v>1863.84412</v>
      </c>
      <c r="E108">
        <v>1.7800000000001148E-2</v>
      </c>
      <c r="F108">
        <f t="shared" si="2"/>
        <v>17.800000000001148</v>
      </c>
      <c r="G108">
        <f t="shared" si="3"/>
        <v>104.71034382021796</v>
      </c>
      <c r="H108" t="s">
        <v>33</v>
      </c>
      <c r="J108">
        <v>269</v>
      </c>
      <c r="K108" t="s">
        <v>3</v>
      </c>
      <c r="L108" t="s">
        <v>35</v>
      </c>
      <c r="M108">
        <v>1863.84412</v>
      </c>
      <c r="N108">
        <v>1.78E-2</v>
      </c>
      <c r="O108">
        <v>17.8</v>
      </c>
      <c r="P108">
        <v>104.7103438</v>
      </c>
      <c r="Q108" t="s">
        <v>33</v>
      </c>
      <c r="S108">
        <v>269</v>
      </c>
      <c r="T108" t="s">
        <v>3</v>
      </c>
      <c r="U108" t="s">
        <v>35</v>
      </c>
      <c r="V108">
        <v>1863.84412</v>
      </c>
      <c r="W108">
        <v>1.78E-2</v>
      </c>
      <c r="X108">
        <v>17.8</v>
      </c>
      <c r="Y108">
        <v>104.7103438</v>
      </c>
    </row>
    <row r="109" spans="1:42" x14ac:dyDescent="0.2">
      <c r="A109">
        <v>271</v>
      </c>
      <c r="B109" t="s">
        <v>2</v>
      </c>
      <c r="C109" t="s">
        <v>35</v>
      </c>
      <c r="D109">
        <v>1855.3947800000001</v>
      </c>
      <c r="E109">
        <v>2.2510000000000474E-2</v>
      </c>
      <c r="F109">
        <f t="shared" si="2"/>
        <v>22.510000000000474</v>
      </c>
      <c r="G109">
        <f t="shared" si="3"/>
        <v>82.42535673034034</v>
      </c>
      <c r="H109" t="s">
        <v>27</v>
      </c>
      <c r="J109">
        <v>271</v>
      </c>
      <c r="K109" t="s">
        <v>2</v>
      </c>
      <c r="L109" t="s">
        <v>35</v>
      </c>
      <c r="M109">
        <v>1855.3947800000001</v>
      </c>
      <c r="N109">
        <v>2.2509999999999999E-2</v>
      </c>
      <c r="O109">
        <v>22.51</v>
      </c>
      <c r="P109">
        <v>82.425356730000004</v>
      </c>
      <c r="Q109" t="s">
        <v>27</v>
      </c>
      <c r="S109">
        <v>271</v>
      </c>
      <c r="T109" t="s">
        <v>2</v>
      </c>
      <c r="U109" t="s">
        <v>35</v>
      </c>
      <c r="V109">
        <v>1855.3947800000001</v>
      </c>
      <c r="W109">
        <v>2.2509999999999999E-2</v>
      </c>
      <c r="X109">
        <v>22.51</v>
      </c>
      <c r="Y109">
        <v>82.425356730000004</v>
      </c>
      <c r="AO109" t="s">
        <v>90</v>
      </c>
    </row>
    <row r="110" spans="1:42" x14ac:dyDescent="0.2">
      <c r="A110">
        <v>272</v>
      </c>
      <c r="B110" t="s">
        <v>3</v>
      </c>
      <c r="C110" t="s">
        <v>29</v>
      </c>
      <c r="D110">
        <v>6642.0107399999997</v>
      </c>
      <c r="E110">
        <v>2.4999999999998579E-2</v>
      </c>
      <c r="F110">
        <f t="shared" si="2"/>
        <v>24.999999999998579</v>
      </c>
      <c r="G110">
        <f t="shared" si="3"/>
        <v>265.68042960001509</v>
      </c>
      <c r="H110" t="s">
        <v>27</v>
      </c>
      <c r="J110">
        <v>272</v>
      </c>
      <c r="K110" t="s">
        <v>3</v>
      </c>
      <c r="L110" t="s">
        <v>29</v>
      </c>
      <c r="M110">
        <v>6642.0107399999997</v>
      </c>
      <c r="N110">
        <v>2.5000000000000001E-2</v>
      </c>
      <c r="O110">
        <v>25</v>
      </c>
      <c r="P110">
        <v>265.68042960000002</v>
      </c>
      <c r="Q110" t="s">
        <v>27</v>
      </c>
      <c r="S110">
        <v>272</v>
      </c>
      <c r="T110" t="s">
        <v>3</v>
      </c>
      <c r="U110" t="s">
        <v>29</v>
      </c>
      <c r="V110">
        <v>6642.0107399999997</v>
      </c>
      <c r="W110">
        <v>2.5000000000000001E-2</v>
      </c>
      <c r="X110">
        <v>25</v>
      </c>
      <c r="Y110">
        <v>265.68042960000002</v>
      </c>
    </row>
    <row r="111" spans="1:42" x14ac:dyDescent="0.2">
      <c r="A111">
        <v>273</v>
      </c>
      <c r="B111" t="s">
        <v>2</v>
      </c>
      <c r="C111" t="s">
        <v>25</v>
      </c>
      <c r="D111">
        <v>112.91674999999999</v>
      </c>
      <c r="E111">
        <v>2.0100000000001117E-2</v>
      </c>
      <c r="F111">
        <f t="shared" si="2"/>
        <v>20.100000000001117</v>
      </c>
      <c r="G111">
        <f t="shared" si="3"/>
        <v>5.6177487562185933</v>
      </c>
      <c r="H111" t="s">
        <v>33</v>
      </c>
      <c r="J111">
        <v>273</v>
      </c>
      <c r="K111" t="s">
        <v>2</v>
      </c>
      <c r="L111" t="s">
        <v>25</v>
      </c>
      <c r="M111">
        <v>112.91674999999999</v>
      </c>
      <c r="N111">
        <v>2.01E-2</v>
      </c>
      <c r="O111">
        <v>20.100000000000001</v>
      </c>
      <c r="P111">
        <v>5.6177487560000001</v>
      </c>
      <c r="Q111" t="s">
        <v>33</v>
      </c>
      <c r="S111">
        <v>273</v>
      </c>
      <c r="T111" t="s">
        <v>2</v>
      </c>
      <c r="U111" t="s">
        <v>25</v>
      </c>
      <c r="V111">
        <v>112.91674999999999</v>
      </c>
      <c r="W111">
        <v>2.01E-2</v>
      </c>
      <c r="X111">
        <v>20.100000000000001</v>
      </c>
      <c r="Y111">
        <v>5.6177487560000001</v>
      </c>
      <c r="AO111" t="s">
        <v>91</v>
      </c>
      <c r="AP111" t="s">
        <v>91</v>
      </c>
    </row>
    <row r="112" spans="1:42" x14ac:dyDescent="0.2">
      <c r="A112">
        <v>281</v>
      </c>
      <c r="B112" t="s">
        <v>2</v>
      </c>
      <c r="C112" t="s">
        <v>29</v>
      </c>
      <c r="D112">
        <v>1136.11646</v>
      </c>
      <c r="E112">
        <v>2.1280000000000854E-2</v>
      </c>
      <c r="F112">
        <f t="shared" si="2"/>
        <v>21.280000000000854</v>
      </c>
      <c r="G112">
        <f t="shared" si="3"/>
        <v>53.388931390975301</v>
      </c>
      <c r="H112" t="s">
        <v>27</v>
      </c>
      <c r="J112">
        <v>281</v>
      </c>
      <c r="K112" t="s">
        <v>2</v>
      </c>
      <c r="L112" t="s">
        <v>29</v>
      </c>
      <c r="M112">
        <v>1136.11646</v>
      </c>
      <c r="N112">
        <v>2.128E-2</v>
      </c>
      <c r="O112">
        <v>21.28</v>
      </c>
      <c r="P112">
        <v>53.388931390000003</v>
      </c>
      <c r="Q112" t="s">
        <v>27</v>
      </c>
      <c r="S112">
        <v>281</v>
      </c>
      <c r="T112" t="s">
        <v>2</v>
      </c>
      <c r="U112" t="s">
        <v>29</v>
      </c>
      <c r="V112">
        <v>1136.11646</v>
      </c>
      <c r="W112">
        <v>2.128E-2</v>
      </c>
      <c r="X112">
        <v>21.28</v>
      </c>
      <c r="Y112">
        <v>53.388931390000003</v>
      </c>
      <c r="AO112" t="s">
        <v>69</v>
      </c>
      <c r="AP112">
        <v>146.20039</v>
      </c>
    </row>
    <row r="113" spans="1:42" x14ac:dyDescent="0.2">
      <c r="A113">
        <v>282</v>
      </c>
      <c r="B113" t="s">
        <v>3</v>
      </c>
      <c r="C113" t="s">
        <v>35</v>
      </c>
      <c r="D113">
        <v>4637.8857399999997</v>
      </c>
      <c r="E113">
        <v>1.9420000000000215E-2</v>
      </c>
      <c r="F113">
        <f t="shared" si="2"/>
        <v>19.420000000000215</v>
      </c>
      <c r="G113">
        <f t="shared" si="3"/>
        <v>238.82006900102721</v>
      </c>
      <c r="H113" t="s">
        <v>27</v>
      </c>
      <c r="J113">
        <v>282</v>
      </c>
      <c r="K113" t="s">
        <v>3</v>
      </c>
      <c r="L113" t="s">
        <v>35</v>
      </c>
      <c r="M113">
        <v>4637.8857399999997</v>
      </c>
      <c r="N113">
        <v>1.942E-2</v>
      </c>
      <c r="O113">
        <v>19.420000000000002</v>
      </c>
      <c r="P113">
        <v>238.82006899999999</v>
      </c>
      <c r="Q113" t="s">
        <v>27</v>
      </c>
      <c r="S113">
        <v>282</v>
      </c>
      <c r="T113" t="s">
        <v>3</v>
      </c>
      <c r="U113" t="s">
        <v>35</v>
      </c>
      <c r="V113">
        <v>4637.8857399999997</v>
      </c>
      <c r="W113">
        <v>1.942E-2</v>
      </c>
      <c r="X113">
        <v>19.420000000000002</v>
      </c>
      <c r="Y113">
        <v>238.82006899999999</v>
      </c>
      <c r="AO113" t="s">
        <v>92</v>
      </c>
      <c r="AP113">
        <v>115.41511</v>
      </c>
    </row>
    <row r="114" spans="1:42" x14ac:dyDescent="0.2">
      <c r="A114">
        <v>287</v>
      </c>
      <c r="B114" t="s">
        <v>2</v>
      </c>
      <c r="C114" t="s">
        <v>35</v>
      </c>
      <c r="D114">
        <v>2278.1835900000001</v>
      </c>
      <c r="E114">
        <v>2.1370000000000999E-2</v>
      </c>
      <c r="F114">
        <f t="shared" si="2"/>
        <v>21.370000000000999</v>
      </c>
      <c r="G114">
        <f t="shared" si="3"/>
        <v>106.60662564342039</v>
      </c>
      <c r="H114" t="s">
        <v>27</v>
      </c>
      <c r="J114">
        <v>287</v>
      </c>
      <c r="K114" t="s">
        <v>2</v>
      </c>
      <c r="L114" t="s">
        <v>35</v>
      </c>
      <c r="M114">
        <v>2278.1835900000001</v>
      </c>
      <c r="N114">
        <v>2.137E-2</v>
      </c>
      <c r="O114">
        <v>21.37</v>
      </c>
      <c r="P114">
        <v>106.6066256</v>
      </c>
      <c r="Q114" t="s">
        <v>27</v>
      </c>
      <c r="S114">
        <v>287</v>
      </c>
      <c r="T114" t="s">
        <v>2</v>
      </c>
      <c r="U114" t="s">
        <v>35</v>
      </c>
      <c r="V114">
        <v>2278.1835900000001</v>
      </c>
      <c r="W114">
        <v>2.137E-2</v>
      </c>
      <c r="X114">
        <v>21.37</v>
      </c>
      <c r="Y114">
        <v>106.6066256</v>
      </c>
      <c r="AO114" t="s">
        <v>93</v>
      </c>
      <c r="AP114">
        <v>20.729165999999999</v>
      </c>
    </row>
    <row r="115" spans="1:42" x14ac:dyDescent="0.2">
      <c r="A115">
        <v>288</v>
      </c>
      <c r="B115" t="s">
        <v>3</v>
      </c>
      <c r="C115" t="s">
        <v>25</v>
      </c>
      <c r="D115">
        <v>6026.7299800000001</v>
      </c>
      <c r="E115">
        <v>2.5249999999999773E-2</v>
      </c>
      <c r="F115">
        <f t="shared" si="2"/>
        <v>25.249999999999773</v>
      </c>
      <c r="G115">
        <f t="shared" si="3"/>
        <v>238.68237544554671</v>
      </c>
      <c r="H115" t="s">
        <v>27</v>
      </c>
      <c r="J115">
        <v>288</v>
      </c>
      <c r="K115" t="s">
        <v>3</v>
      </c>
      <c r="L115" t="s">
        <v>25</v>
      </c>
      <c r="M115">
        <v>6026.7299800000001</v>
      </c>
      <c r="N115">
        <v>2.5250000000000002E-2</v>
      </c>
      <c r="O115">
        <v>25.25</v>
      </c>
      <c r="P115">
        <v>238.68237540000001</v>
      </c>
      <c r="Q115" t="s">
        <v>27</v>
      </c>
      <c r="S115">
        <v>288</v>
      </c>
      <c r="T115" t="s">
        <v>3</v>
      </c>
      <c r="U115" t="s">
        <v>25</v>
      </c>
      <c r="V115">
        <v>6026.7299800000001</v>
      </c>
      <c r="W115">
        <v>2.5250000000000002E-2</v>
      </c>
      <c r="X115">
        <v>25.25</v>
      </c>
      <c r="Y115">
        <v>238.68237540000001</v>
      </c>
      <c r="AO115" t="s">
        <v>94</v>
      </c>
      <c r="AP115">
        <v>188.53498999999999</v>
      </c>
    </row>
    <row r="116" spans="1:42" x14ac:dyDescent="0.2">
      <c r="A116">
        <v>290</v>
      </c>
      <c r="B116" t="s">
        <v>3</v>
      </c>
      <c r="C116" t="s">
        <v>25</v>
      </c>
      <c r="D116">
        <v>8002.2168000000001</v>
      </c>
      <c r="E116">
        <v>2.3320000000000007E-2</v>
      </c>
      <c r="F116">
        <f t="shared" si="2"/>
        <v>23.320000000000007</v>
      </c>
      <c r="G116">
        <f t="shared" si="3"/>
        <v>343.14823327615773</v>
      </c>
      <c r="H116" t="s">
        <v>27</v>
      </c>
      <c r="J116">
        <v>290</v>
      </c>
      <c r="K116" t="s">
        <v>3</v>
      </c>
      <c r="L116" t="s">
        <v>25</v>
      </c>
      <c r="M116">
        <v>8002.2168000000001</v>
      </c>
      <c r="N116">
        <v>2.332E-2</v>
      </c>
      <c r="O116">
        <v>23.32</v>
      </c>
      <c r="P116">
        <v>343.14823330000002</v>
      </c>
      <c r="Q116" t="s">
        <v>27</v>
      </c>
      <c r="S116">
        <v>290</v>
      </c>
      <c r="T116" t="s">
        <v>3</v>
      </c>
      <c r="U116" t="s">
        <v>25</v>
      </c>
      <c r="V116">
        <v>8002.2168000000001</v>
      </c>
      <c r="W116">
        <v>2.332E-2</v>
      </c>
      <c r="X116">
        <v>23.32</v>
      </c>
      <c r="Y116">
        <v>343.14823330000002</v>
      </c>
      <c r="AO116" t="s">
        <v>95</v>
      </c>
      <c r="AP116">
        <v>103.86578</v>
      </c>
    </row>
    <row r="117" spans="1:42" x14ac:dyDescent="0.2">
      <c r="A117">
        <v>291</v>
      </c>
      <c r="B117" t="s">
        <v>3</v>
      </c>
      <c r="C117" t="s">
        <v>25</v>
      </c>
      <c r="D117">
        <v>3681.1855500000001</v>
      </c>
      <c r="E117">
        <v>2.0139999999999603E-2</v>
      </c>
      <c r="F117">
        <f t="shared" si="2"/>
        <v>20.139999999999603</v>
      </c>
      <c r="G117">
        <f t="shared" si="3"/>
        <v>182.77981876862327</v>
      </c>
      <c r="H117" t="s">
        <v>27</v>
      </c>
      <c r="J117">
        <v>291</v>
      </c>
      <c r="K117" t="s">
        <v>3</v>
      </c>
      <c r="L117" t="s">
        <v>25</v>
      </c>
      <c r="M117">
        <v>3681.1855500000001</v>
      </c>
      <c r="N117">
        <v>2.0140000000000002E-2</v>
      </c>
      <c r="O117">
        <v>20.14</v>
      </c>
      <c r="P117">
        <v>182.77981879999999</v>
      </c>
      <c r="Q117" t="s">
        <v>27</v>
      </c>
      <c r="S117">
        <v>291</v>
      </c>
      <c r="T117" t="s">
        <v>3</v>
      </c>
      <c r="U117" t="s">
        <v>25</v>
      </c>
      <c r="V117">
        <v>3681.1855500000001</v>
      </c>
      <c r="W117">
        <v>2.0140000000000002E-2</v>
      </c>
      <c r="X117">
        <v>20.14</v>
      </c>
      <c r="Y117">
        <v>182.77981879999999</v>
      </c>
      <c r="AO117" t="s">
        <v>96</v>
      </c>
      <c r="AP117">
        <v>31</v>
      </c>
    </row>
    <row r="118" spans="1:42" x14ac:dyDescent="0.2">
      <c r="A118">
        <v>293</v>
      </c>
      <c r="B118" t="s">
        <v>3</v>
      </c>
      <c r="C118" t="s">
        <v>29</v>
      </c>
      <c r="D118">
        <v>4849.3247099999999</v>
      </c>
      <c r="E118">
        <v>2.1829999999999572E-2</v>
      </c>
      <c r="F118">
        <f t="shared" si="2"/>
        <v>21.829999999999572</v>
      </c>
      <c r="G118">
        <f t="shared" si="3"/>
        <v>222.14038983051282</v>
      </c>
      <c r="H118" t="s">
        <v>27</v>
      </c>
      <c r="J118">
        <v>293</v>
      </c>
      <c r="K118" t="s">
        <v>3</v>
      </c>
      <c r="L118" t="s">
        <v>29</v>
      </c>
      <c r="M118">
        <v>4849.3247099999999</v>
      </c>
      <c r="N118">
        <v>2.1829999999999999E-2</v>
      </c>
      <c r="O118">
        <v>21.83</v>
      </c>
      <c r="P118">
        <v>222.14038980000001</v>
      </c>
      <c r="Q118" t="s">
        <v>27</v>
      </c>
      <c r="S118">
        <v>293</v>
      </c>
      <c r="T118" t="s">
        <v>3</v>
      </c>
      <c r="U118" t="s">
        <v>29</v>
      </c>
      <c r="V118">
        <v>4849.3247099999999</v>
      </c>
      <c r="W118">
        <v>2.1829999999999999E-2</v>
      </c>
      <c r="X118">
        <v>21.83</v>
      </c>
      <c r="Y118">
        <v>222.14038980000001</v>
      </c>
    </row>
    <row r="119" spans="1:42" x14ac:dyDescent="0.2">
      <c r="A119">
        <v>294</v>
      </c>
      <c r="B119" t="s">
        <v>3</v>
      </c>
      <c r="C119" t="s">
        <v>35</v>
      </c>
      <c r="D119">
        <v>2049.4143100000001</v>
      </c>
      <c r="E119">
        <v>2.0670000000000854E-2</v>
      </c>
      <c r="F119">
        <f t="shared" si="2"/>
        <v>20.670000000000854</v>
      </c>
      <c r="G119">
        <f t="shared" si="3"/>
        <v>99.14921673923152</v>
      </c>
      <c r="H119" t="s">
        <v>33</v>
      </c>
      <c r="J119">
        <v>294</v>
      </c>
      <c r="K119" t="s">
        <v>3</v>
      </c>
      <c r="L119" t="s">
        <v>35</v>
      </c>
      <c r="M119">
        <v>2049.4143100000001</v>
      </c>
      <c r="N119">
        <v>2.0670000000000001E-2</v>
      </c>
      <c r="O119">
        <v>20.67</v>
      </c>
      <c r="P119">
        <v>99.14921674</v>
      </c>
      <c r="Q119" t="s">
        <v>33</v>
      </c>
      <c r="S119">
        <v>294</v>
      </c>
      <c r="T119" t="s">
        <v>3</v>
      </c>
      <c r="U119" t="s">
        <v>35</v>
      </c>
      <c r="V119">
        <v>2049.4143100000001</v>
      </c>
      <c r="W119">
        <v>2.0670000000000001E-2</v>
      </c>
      <c r="X119">
        <v>20.67</v>
      </c>
      <c r="Y119">
        <v>99.14921674</v>
      </c>
    </row>
    <row r="120" spans="1:42" x14ac:dyDescent="0.2">
      <c r="A120">
        <v>296</v>
      </c>
      <c r="B120" t="s">
        <v>3</v>
      </c>
      <c r="C120" t="s">
        <v>29</v>
      </c>
      <c r="D120">
        <v>3627.9296899999999</v>
      </c>
      <c r="E120">
        <v>2.5400000000001199E-2</v>
      </c>
      <c r="F120">
        <f t="shared" si="2"/>
        <v>25.400000000001199</v>
      </c>
      <c r="G120">
        <f t="shared" si="3"/>
        <v>142.83187755904837</v>
      </c>
      <c r="H120" t="s">
        <v>27</v>
      </c>
      <c r="J120">
        <v>296</v>
      </c>
      <c r="K120" t="s">
        <v>3</v>
      </c>
      <c r="L120" t="s">
        <v>29</v>
      </c>
      <c r="M120">
        <v>3627.9296899999999</v>
      </c>
      <c r="N120">
        <v>2.5399999999999999E-2</v>
      </c>
      <c r="O120">
        <v>25.4</v>
      </c>
      <c r="P120">
        <v>142.83187760000001</v>
      </c>
      <c r="Q120" t="s">
        <v>27</v>
      </c>
      <c r="S120">
        <v>296</v>
      </c>
      <c r="T120" t="s">
        <v>3</v>
      </c>
      <c r="U120" t="s">
        <v>29</v>
      </c>
      <c r="V120">
        <v>3627.9296899999999</v>
      </c>
      <c r="W120">
        <v>2.5399999999999999E-2</v>
      </c>
      <c r="X120">
        <v>25.4</v>
      </c>
      <c r="Y120">
        <v>142.83187760000001</v>
      </c>
    </row>
    <row r="121" spans="1:42" x14ac:dyDescent="0.2">
      <c r="A121">
        <v>300</v>
      </c>
      <c r="B121" t="s">
        <v>3</v>
      </c>
      <c r="C121" t="s">
        <v>29</v>
      </c>
      <c r="D121">
        <v>701.65557999999999</v>
      </c>
      <c r="E121">
        <v>2.2740000000000649E-2</v>
      </c>
      <c r="F121">
        <f t="shared" si="2"/>
        <v>22.740000000000649</v>
      </c>
      <c r="G121">
        <f t="shared" si="3"/>
        <v>30.855566402813544</v>
      </c>
      <c r="H121" t="s">
        <v>27</v>
      </c>
      <c r="J121">
        <v>300</v>
      </c>
      <c r="K121" t="s">
        <v>3</v>
      </c>
      <c r="L121" t="s">
        <v>29</v>
      </c>
      <c r="M121">
        <v>701.65557999999999</v>
      </c>
      <c r="N121">
        <v>2.274E-2</v>
      </c>
      <c r="O121">
        <v>22.74</v>
      </c>
      <c r="P121">
        <v>30.855566400000001</v>
      </c>
      <c r="Q121" t="s">
        <v>27</v>
      </c>
      <c r="S121">
        <v>300</v>
      </c>
      <c r="T121" t="s">
        <v>3</v>
      </c>
      <c r="U121" t="s">
        <v>29</v>
      </c>
      <c r="V121">
        <v>701.65557999999999</v>
      </c>
      <c r="W121">
        <v>2.274E-2</v>
      </c>
      <c r="X121">
        <v>22.74</v>
      </c>
      <c r="Y121">
        <v>30.855566400000001</v>
      </c>
    </row>
    <row r="122" spans="1:42" x14ac:dyDescent="0.2">
      <c r="A122">
        <v>302</v>
      </c>
      <c r="B122" t="s">
        <v>3</v>
      </c>
      <c r="C122" t="s">
        <v>29</v>
      </c>
      <c r="D122">
        <v>2116.0939899999998</v>
      </c>
      <c r="E122">
        <v>1.9579999999999487E-2</v>
      </c>
      <c r="F122">
        <f t="shared" si="2"/>
        <v>19.579999999999487</v>
      </c>
      <c r="G122">
        <f t="shared" si="3"/>
        <v>108.07425893769435</v>
      </c>
      <c r="H122" t="s">
        <v>33</v>
      </c>
      <c r="J122">
        <v>302</v>
      </c>
      <c r="K122" t="s">
        <v>3</v>
      </c>
      <c r="L122" t="s">
        <v>29</v>
      </c>
      <c r="M122">
        <v>2116.0939899999998</v>
      </c>
      <c r="N122">
        <v>1.958E-2</v>
      </c>
      <c r="O122">
        <v>19.579999999999998</v>
      </c>
      <c r="P122">
        <v>108.0742589</v>
      </c>
      <c r="Q122" t="s">
        <v>33</v>
      </c>
      <c r="S122">
        <v>302</v>
      </c>
      <c r="T122" t="s">
        <v>3</v>
      </c>
      <c r="U122" t="s">
        <v>29</v>
      </c>
      <c r="V122">
        <v>2116.0939899999998</v>
      </c>
      <c r="W122">
        <v>1.958E-2</v>
      </c>
      <c r="X122">
        <v>19.579999999999998</v>
      </c>
      <c r="Y122">
        <v>108.0742589</v>
      </c>
      <c r="AO122" t="s">
        <v>101</v>
      </c>
    </row>
    <row r="123" spans="1:42" x14ac:dyDescent="0.2">
      <c r="A123">
        <v>304</v>
      </c>
      <c r="B123" t="s">
        <v>3</v>
      </c>
      <c r="C123" t="s">
        <v>35</v>
      </c>
      <c r="D123">
        <v>2423.7478000000001</v>
      </c>
      <c r="E123">
        <v>1.7250000000000654E-2</v>
      </c>
      <c r="F123">
        <f t="shared" si="2"/>
        <v>17.250000000000654</v>
      </c>
      <c r="G123">
        <f t="shared" si="3"/>
        <v>140.50711884057438</v>
      </c>
      <c r="H123" t="s">
        <v>33</v>
      </c>
      <c r="J123">
        <v>304</v>
      </c>
      <c r="K123" t="s">
        <v>3</v>
      </c>
      <c r="L123" t="s">
        <v>35</v>
      </c>
      <c r="M123">
        <v>2423.7478000000001</v>
      </c>
      <c r="N123">
        <v>1.7250000000000001E-2</v>
      </c>
      <c r="O123">
        <v>17.25</v>
      </c>
      <c r="P123">
        <v>140.5071188</v>
      </c>
      <c r="Q123" t="s">
        <v>33</v>
      </c>
      <c r="S123">
        <v>304</v>
      </c>
      <c r="T123" t="s">
        <v>3</v>
      </c>
      <c r="U123" t="s">
        <v>35</v>
      </c>
      <c r="V123">
        <v>2423.7478000000001</v>
      </c>
      <c r="W123">
        <v>1.7250000000000001E-2</v>
      </c>
      <c r="X123">
        <v>17.25</v>
      </c>
      <c r="Y123">
        <v>140.5071188</v>
      </c>
    </row>
    <row r="124" spans="1:42" x14ac:dyDescent="0.2">
      <c r="A124">
        <v>305</v>
      </c>
      <c r="B124" t="s">
        <v>3</v>
      </c>
      <c r="C124" t="s">
        <v>29</v>
      </c>
      <c r="D124">
        <v>5738.4799800000001</v>
      </c>
      <c r="E124">
        <v>2.3519999999999541E-2</v>
      </c>
      <c r="F124">
        <f t="shared" si="2"/>
        <v>23.519999999999541</v>
      </c>
      <c r="G124">
        <f t="shared" si="3"/>
        <v>243.98299234694355</v>
      </c>
      <c r="H124" t="s">
        <v>27</v>
      </c>
      <c r="J124">
        <v>305</v>
      </c>
      <c r="K124" t="s">
        <v>3</v>
      </c>
      <c r="L124" t="s">
        <v>29</v>
      </c>
      <c r="M124">
        <v>5738.4799800000001</v>
      </c>
      <c r="N124">
        <v>2.3519999999999999E-2</v>
      </c>
      <c r="O124">
        <v>23.52</v>
      </c>
      <c r="P124">
        <v>243.98299230000001</v>
      </c>
      <c r="Q124" t="s">
        <v>27</v>
      </c>
      <c r="S124">
        <v>305</v>
      </c>
      <c r="T124" t="s">
        <v>3</v>
      </c>
      <c r="U124" t="s">
        <v>29</v>
      </c>
      <c r="V124">
        <v>5738.4799800000001</v>
      </c>
      <c r="W124">
        <v>2.3519999999999999E-2</v>
      </c>
      <c r="X124">
        <v>23.52</v>
      </c>
      <c r="Y124">
        <v>243.98299230000001</v>
      </c>
    </row>
    <row r="125" spans="1:42" x14ac:dyDescent="0.2">
      <c r="A125">
        <v>311</v>
      </c>
      <c r="B125" t="s">
        <v>3</v>
      </c>
      <c r="C125" t="s">
        <v>25</v>
      </c>
      <c r="D125">
        <v>1413.4744900000001</v>
      </c>
      <c r="E125">
        <v>1.7660000000001119E-2</v>
      </c>
      <c r="F125">
        <f t="shared" si="2"/>
        <v>17.660000000001119</v>
      </c>
      <c r="G125">
        <f t="shared" si="3"/>
        <v>80.038193091727663</v>
      </c>
      <c r="H125" t="s">
        <v>33</v>
      </c>
      <c r="J125">
        <v>311</v>
      </c>
      <c r="K125" t="s">
        <v>3</v>
      </c>
      <c r="L125" t="s">
        <v>25</v>
      </c>
      <c r="M125">
        <v>1413.4744900000001</v>
      </c>
      <c r="N125">
        <v>1.7659999999999999E-2</v>
      </c>
      <c r="O125">
        <v>17.66</v>
      </c>
      <c r="P125">
        <v>80.038193089999993</v>
      </c>
      <c r="Q125" t="s">
        <v>33</v>
      </c>
      <c r="S125">
        <v>311</v>
      </c>
      <c r="T125" t="s">
        <v>3</v>
      </c>
      <c r="U125" t="s">
        <v>25</v>
      </c>
      <c r="V125">
        <v>1413.4744900000001</v>
      </c>
      <c r="W125">
        <v>1.7659999999999999E-2</v>
      </c>
      <c r="X125">
        <v>17.66</v>
      </c>
      <c r="Y125">
        <v>80.038193089999993</v>
      </c>
      <c r="AO125" t="s">
        <v>60</v>
      </c>
    </row>
    <row r="126" spans="1:42" x14ac:dyDescent="0.2">
      <c r="A126">
        <v>314</v>
      </c>
      <c r="B126" t="s">
        <v>3</v>
      </c>
      <c r="C126" t="s">
        <v>25</v>
      </c>
      <c r="D126">
        <v>6968.8393599999999</v>
      </c>
      <c r="E126">
        <v>2.1180000000001087E-2</v>
      </c>
      <c r="F126">
        <f t="shared" si="2"/>
        <v>21.180000000001087</v>
      </c>
      <c r="G126">
        <f t="shared" si="3"/>
        <v>329.02924268175838</v>
      </c>
      <c r="H126" t="s">
        <v>27</v>
      </c>
      <c r="J126">
        <v>314</v>
      </c>
      <c r="K126" t="s">
        <v>3</v>
      </c>
      <c r="L126" t="s">
        <v>25</v>
      </c>
      <c r="M126">
        <v>6968.8393599999999</v>
      </c>
      <c r="N126">
        <v>2.1180000000000001E-2</v>
      </c>
      <c r="O126">
        <v>21.18</v>
      </c>
      <c r="P126">
        <v>329.0292427</v>
      </c>
      <c r="Q126" t="s">
        <v>27</v>
      </c>
      <c r="S126">
        <v>314</v>
      </c>
      <c r="T126" t="s">
        <v>3</v>
      </c>
      <c r="U126" t="s">
        <v>25</v>
      </c>
      <c r="V126">
        <v>6968.8393599999999</v>
      </c>
      <c r="W126">
        <v>2.1180000000000001E-2</v>
      </c>
      <c r="X126">
        <v>21.18</v>
      </c>
      <c r="Y126">
        <v>329.0292427</v>
      </c>
    </row>
    <row r="127" spans="1:42" x14ac:dyDescent="0.2">
      <c r="A127">
        <v>320</v>
      </c>
      <c r="B127" t="s">
        <v>2</v>
      </c>
      <c r="C127" t="s">
        <v>29</v>
      </c>
      <c r="D127">
        <v>9581.6660200000006</v>
      </c>
      <c r="E127">
        <v>2.3200000000000998E-2</v>
      </c>
      <c r="F127">
        <f t="shared" si="2"/>
        <v>23.200000000000998</v>
      </c>
      <c r="G127" s="23">
        <f t="shared" si="3"/>
        <v>413.00284568963741</v>
      </c>
      <c r="H127" t="s">
        <v>33</v>
      </c>
      <c r="J127">
        <v>320</v>
      </c>
      <c r="K127" t="s">
        <v>2</v>
      </c>
      <c r="L127" t="s">
        <v>29</v>
      </c>
      <c r="M127">
        <v>9581.6660200000006</v>
      </c>
      <c r="N127">
        <v>2.3199999999999998E-2</v>
      </c>
      <c r="O127">
        <v>23.2</v>
      </c>
      <c r="Q127" t="s">
        <v>33</v>
      </c>
      <c r="S127">
        <v>320</v>
      </c>
      <c r="T127" t="s">
        <v>2</v>
      </c>
      <c r="U127" t="s">
        <v>29</v>
      </c>
      <c r="V127">
        <v>9581.6660200000006</v>
      </c>
      <c r="W127">
        <v>2.3199999999999998E-2</v>
      </c>
      <c r="X127">
        <v>23.2</v>
      </c>
    </row>
    <row r="128" spans="1:42" x14ac:dyDescent="0.2">
      <c r="A128">
        <v>321</v>
      </c>
      <c r="B128" t="s">
        <v>3</v>
      </c>
      <c r="C128" t="s">
        <v>29</v>
      </c>
      <c r="D128">
        <v>4751.8574200000003</v>
      </c>
      <c r="E128">
        <v>1.91599999999994E-2</v>
      </c>
      <c r="F128">
        <f t="shared" si="2"/>
        <v>19.1599999999994</v>
      </c>
      <c r="G128">
        <f t="shared" si="3"/>
        <v>248.00925991650047</v>
      </c>
      <c r="H128" t="s">
        <v>33</v>
      </c>
      <c r="J128">
        <v>321</v>
      </c>
      <c r="K128" t="s">
        <v>3</v>
      </c>
      <c r="L128" t="s">
        <v>29</v>
      </c>
      <c r="M128">
        <v>4751.8574200000003</v>
      </c>
      <c r="N128">
        <v>1.916E-2</v>
      </c>
      <c r="O128">
        <v>19.16</v>
      </c>
      <c r="P128">
        <v>248.00925989999999</v>
      </c>
      <c r="Q128" t="s">
        <v>33</v>
      </c>
      <c r="S128">
        <v>321</v>
      </c>
      <c r="T128" t="s">
        <v>3</v>
      </c>
      <c r="U128" t="s">
        <v>29</v>
      </c>
      <c r="V128">
        <v>4751.8574200000003</v>
      </c>
      <c r="W128">
        <v>1.916E-2</v>
      </c>
      <c r="X128">
        <v>19.16</v>
      </c>
      <c r="Y128">
        <v>248.00925989999999</v>
      </c>
    </row>
    <row r="129" spans="1:42" x14ac:dyDescent="0.2">
      <c r="A129">
        <v>322</v>
      </c>
      <c r="B129" t="s">
        <v>3</v>
      </c>
      <c r="C129" t="s">
        <v>29</v>
      </c>
      <c r="D129">
        <v>527.23059000000001</v>
      </c>
      <c r="E129">
        <v>1.8589999999999662E-2</v>
      </c>
      <c r="F129">
        <f t="shared" si="2"/>
        <v>18.589999999999662</v>
      </c>
      <c r="G129">
        <f t="shared" si="3"/>
        <v>28.36097848305592</v>
      </c>
      <c r="H129" t="s">
        <v>33</v>
      </c>
      <c r="J129">
        <v>322</v>
      </c>
      <c r="K129" t="s">
        <v>3</v>
      </c>
      <c r="L129" t="s">
        <v>29</v>
      </c>
      <c r="M129">
        <v>527.23059000000001</v>
      </c>
      <c r="N129">
        <v>1.8589999999999999E-2</v>
      </c>
      <c r="O129">
        <v>18.59</v>
      </c>
      <c r="P129">
        <v>28.36097848</v>
      </c>
      <c r="Q129" t="s">
        <v>33</v>
      </c>
      <c r="S129">
        <v>322</v>
      </c>
      <c r="T129" t="s">
        <v>3</v>
      </c>
      <c r="U129" t="s">
        <v>29</v>
      </c>
      <c r="V129">
        <v>527.23059000000001</v>
      </c>
      <c r="W129">
        <v>1.8589999999999999E-2</v>
      </c>
      <c r="X129">
        <v>18.59</v>
      </c>
      <c r="Y129">
        <v>28.36097848</v>
      </c>
    </row>
    <row r="130" spans="1:42" x14ac:dyDescent="0.2">
      <c r="A130">
        <v>328</v>
      </c>
      <c r="B130" t="s">
        <v>2</v>
      </c>
      <c r="C130" t="s">
        <v>35</v>
      </c>
      <c r="D130">
        <v>1387.2722200000001</v>
      </c>
      <c r="E130">
        <v>1.9589999999999108E-2</v>
      </c>
      <c r="F130">
        <f t="shared" si="2"/>
        <v>19.589999999999108</v>
      </c>
      <c r="G130">
        <f t="shared" si="3"/>
        <v>70.815325165904198</v>
      </c>
      <c r="H130" t="s">
        <v>33</v>
      </c>
      <c r="J130">
        <v>328</v>
      </c>
      <c r="K130" t="s">
        <v>2</v>
      </c>
      <c r="L130" t="s">
        <v>35</v>
      </c>
      <c r="M130">
        <v>1387.2722200000001</v>
      </c>
      <c r="N130">
        <v>1.959E-2</v>
      </c>
      <c r="O130">
        <v>19.59</v>
      </c>
      <c r="P130">
        <v>70.815325169999994</v>
      </c>
      <c r="Q130" t="s">
        <v>33</v>
      </c>
      <c r="S130">
        <v>328</v>
      </c>
      <c r="T130" t="s">
        <v>2</v>
      </c>
      <c r="U130" t="s">
        <v>35</v>
      </c>
      <c r="V130">
        <v>1387.2722200000001</v>
      </c>
      <c r="W130">
        <v>1.959E-2</v>
      </c>
      <c r="X130">
        <v>19.59</v>
      </c>
      <c r="Y130">
        <v>70.815325169999994</v>
      </c>
    </row>
    <row r="131" spans="1:42" x14ac:dyDescent="0.2">
      <c r="A131">
        <v>329</v>
      </c>
      <c r="B131" t="s">
        <v>2</v>
      </c>
      <c r="C131" t="s">
        <v>35</v>
      </c>
      <c r="D131">
        <v>4426.2670900000003</v>
      </c>
      <c r="E131">
        <v>2.5330000000000297E-2</v>
      </c>
      <c r="F131">
        <f t="shared" si="2"/>
        <v>25.330000000000297</v>
      </c>
      <c r="G131">
        <f t="shared" si="3"/>
        <v>174.74406198183769</v>
      </c>
      <c r="H131" t="s">
        <v>27</v>
      </c>
      <c r="J131">
        <v>329</v>
      </c>
      <c r="K131" t="s">
        <v>2</v>
      </c>
      <c r="L131" t="s">
        <v>35</v>
      </c>
      <c r="M131">
        <v>4426.2670900000003</v>
      </c>
      <c r="N131">
        <v>2.5329999999999998E-2</v>
      </c>
      <c r="O131">
        <v>25.33</v>
      </c>
      <c r="P131">
        <v>174.74406200000001</v>
      </c>
      <c r="Q131" t="s">
        <v>27</v>
      </c>
      <c r="S131">
        <v>329</v>
      </c>
      <c r="T131" t="s">
        <v>2</v>
      </c>
      <c r="U131" t="s">
        <v>35</v>
      </c>
      <c r="V131">
        <v>4426.2670900000003</v>
      </c>
      <c r="W131">
        <v>2.5329999999999998E-2</v>
      </c>
      <c r="X131">
        <v>25.33</v>
      </c>
      <c r="Y131">
        <v>174.74406200000001</v>
      </c>
      <c r="AO131" t="s">
        <v>90</v>
      </c>
    </row>
    <row r="132" spans="1:42" x14ac:dyDescent="0.2">
      <c r="A132">
        <v>330</v>
      </c>
      <c r="B132" t="s">
        <v>2</v>
      </c>
      <c r="C132" t="s">
        <v>29</v>
      </c>
      <c r="D132">
        <v>2701.2058099999999</v>
      </c>
      <c r="E132">
        <v>2.2240000000000038E-2</v>
      </c>
      <c r="F132">
        <f t="shared" si="2"/>
        <v>22.240000000000038</v>
      </c>
      <c r="G132">
        <f t="shared" si="3"/>
        <v>121.45709577338108</v>
      </c>
      <c r="H132" t="s">
        <v>27</v>
      </c>
      <c r="J132">
        <v>330</v>
      </c>
      <c r="K132" t="s">
        <v>2</v>
      </c>
      <c r="L132" t="s">
        <v>29</v>
      </c>
      <c r="M132">
        <v>2701.2058099999999</v>
      </c>
      <c r="N132">
        <v>2.2239999999999999E-2</v>
      </c>
      <c r="O132">
        <v>22.24</v>
      </c>
      <c r="P132">
        <v>121.4570958</v>
      </c>
      <c r="Q132" t="s">
        <v>27</v>
      </c>
      <c r="S132">
        <v>330</v>
      </c>
      <c r="T132" t="s">
        <v>2</v>
      </c>
      <c r="U132" t="s">
        <v>29</v>
      </c>
      <c r="V132">
        <v>2701.2058099999999</v>
      </c>
      <c r="W132">
        <v>2.2239999999999999E-2</v>
      </c>
      <c r="X132">
        <v>22.24</v>
      </c>
      <c r="Y132">
        <v>121.4570958</v>
      </c>
    </row>
    <row r="133" spans="1:42" x14ac:dyDescent="0.2">
      <c r="A133">
        <v>333</v>
      </c>
      <c r="B133" t="s">
        <v>3</v>
      </c>
      <c r="C133" t="s">
        <v>29</v>
      </c>
      <c r="D133">
        <v>1708.74902</v>
      </c>
      <c r="E133">
        <v>2.3499999999998522E-2</v>
      </c>
      <c r="F133">
        <f t="shared" ref="F133:F174" si="4">E133*1000</f>
        <v>23.499999999998522</v>
      </c>
      <c r="G133">
        <f t="shared" ref="G133:G174" si="5">D133/F133</f>
        <v>72.712724255323721</v>
      </c>
      <c r="H133" t="s">
        <v>33</v>
      </c>
      <c r="J133">
        <v>333</v>
      </c>
      <c r="K133" t="s">
        <v>3</v>
      </c>
      <c r="L133" t="s">
        <v>29</v>
      </c>
      <c r="M133">
        <v>1708.74902</v>
      </c>
      <c r="N133">
        <v>2.35E-2</v>
      </c>
      <c r="O133">
        <v>23.5</v>
      </c>
      <c r="P133">
        <v>72.712724260000002</v>
      </c>
      <c r="Q133" t="s">
        <v>33</v>
      </c>
      <c r="S133">
        <v>333</v>
      </c>
      <c r="T133" t="s">
        <v>3</v>
      </c>
      <c r="U133" t="s">
        <v>29</v>
      </c>
      <c r="V133">
        <v>1708.74902</v>
      </c>
      <c r="W133">
        <v>2.35E-2</v>
      </c>
      <c r="X133">
        <v>23.5</v>
      </c>
      <c r="Y133">
        <v>72.712724260000002</v>
      </c>
      <c r="AO133" t="s">
        <v>91</v>
      </c>
      <c r="AP133" t="s">
        <v>91</v>
      </c>
    </row>
    <row r="134" spans="1:42" x14ac:dyDescent="0.2">
      <c r="A134">
        <v>338</v>
      </c>
      <c r="B134" t="s">
        <v>3</v>
      </c>
      <c r="C134" t="s">
        <v>25</v>
      </c>
      <c r="D134">
        <v>564.96978999999999</v>
      </c>
      <c r="E134">
        <v>1.9149999999999778E-2</v>
      </c>
      <c r="F134">
        <f t="shared" si="4"/>
        <v>19.149999999999778</v>
      </c>
      <c r="G134">
        <f t="shared" si="5"/>
        <v>29.502338903394598</v>
      </c>
      <c r="H134" t="s">
        <v>33</v>
      </c>
      <c r="J134">
        <v>338</v>
      </c>
      <c r="K134" t="s">
        <v>3</v>
      </c>
      <c r="L134" t="s">
        <v>25</v>
      </c>
      <c r="M134">
        <v>564.96978999999999</v>
      </c>
      <c r="N134">
        <v>1.915E-2</v>
      </c>
      <c r="O134">
        <v>19.149999999999999</v>
      </c>
      <c r="P134">
        <v>29.502338900000002</v>
      </c>
      <c r="Q134" t="s">
        <v>33</v>
      </c>
      <c r="S134">
        <v>338</v>
      </c>
      <c r="T134" t="s">
        <v>3</v>
      </c>
      <c r="U134" t="s">
        <v>25</v>
      </c>
      <c r="V134">
        <v>564.96978999999999</v>
      </c>
      <c r="W134">
        <v>1.915E-2</v>
      </c>
      <c r="X134">
        <v>19.149999999999999</v>
      </c>
      <c r="Y134">
        <v>29.502338900000002</v>
      </c>
      <c r="AO134" t="s">
        <v>69</v>
      </c>
      <c r="AP134">
        <v>142.45285999999999</v>
      </c>
    </row>
    <row r="135" spans="1:42" x14ac:dyDescent="0.2">
      <c r="A135">
        <v>339</v>
      </c>
      <c r="B135" t="s">
        <v>2</v>
      </c>
      <c r="C135" t="s">
        <v>35</v>
      </c>
      <c r="D135">
        <v>162.22943000000001</v>
      </c>
      <c r="E135">
        <v>2.3200000000000998E-2</v>
      </c>
      <c r="F135">
        <f t="shared" si="4"/>
        <v>23.200000000000998</v>
      </c>
      <c r="G135">
        <f t="shared" si="5"/>
        <v>6.9926478448272862</v>
      </c>
      <c r="H135" t="s">
        <v>33</v>
      </c>
      <c r="J135">
        <v>339</v>
      </c>
      <c r="K135" t="s">
        <v>2</v>
      </c>
      <c r="L135" t="s">
        <v>35</v>
      </c>
      <c r="M135">
        <v>162.22943000000001</v>
      </c>
      <c r="N135">
        <v>2.3199999999999998E-2</v>
      </c>
      <c r="O135">
        <v>23.2</v>
      </c>
      <c r="P135">
        <v>6.9926478449999996</v>
      </c>
      <c r="Q135" t="s">
        <v>33</v>
      </c>
      <c r="S135">
        <v>339</v>
      </c>
      <c r="T135" t="s">
        <v>2</v>
      </c>
      <c r="U135" t="s">
        <v>35</v>
      </c>
      <c r="V135">
        <v>162.22943000000001</v>
      </c>
      <c r="W135">
        <v>2.3199999999999998E-2</v>
      </c>
      <c r="X135">
        <v>23.2</v>
      </c>
      <c r="Y135">
        <v>6.9926478449999996</v>
      </c>
      <c r="AO135" t="s">
        <v>92</v>
      </c>
      <c r="AP135">
        <v>129.88347999999999</v>
      </c>
    </row>
    <row r="136" spans="1:42" x14ac:dyDescent="0.2">
      <c r="A136">
        <v>343</v>
      </c>
      <c r="B136" t="s">
        <v>3</v>
      </c>
      <c r="C136" t="s">
        <v>35</v>
      </c>
      <c r="D136">
        <v>748.03527999999994</v>
      </c>
      <c r="E136">
        <v>2.4779999999999802E-2</v>
      </c>
      <c r="F136">
        <f t="shared" si="4"/>
        <v>24.779999999999802</v>
      </c>
      <c r="G136">
        <f t="shared" si="5"/>
        <v>30.187057304277882</v>
      </c>
      <c r="H136" t="s">
        <v>27</v>
      </c>
      <c r="J136">
        <v>343</v>
      </c>
      <c r="K136" t="s">
        <v>3</v>
      </c>
      <c r="L136" t="s">
        <v>35</v>
      </c>
      <c r="M136">
        <v>748.03527999999994</v>
      </c>
      <c r="N136">
        <v>2.478E-2</v>
      </c>
      <c r="O136">
        <v>24.78</v>
      </c>
      <c r="P136">
        <v>30.187057299999999</v>
      </c>
      <c r="Q136" t="s">
        <v>27</v>
      </c>
      <c r="S136">
        <v>343</v>
      </c>
      <c r="T136" t="s">
        <v>3</v>
      </c>
      <c r="U136" t="s">
        <v>35</v>
      </c>
      <c r="V136">
        <v>748.03527999999994</v>
      </c>
      <c r="W136">
        <v>2.478E-2</v>
      </c>
      <c r="X136">
        <v>24.78</v>
      </c>
      <c r="Y136">
        <v>30.187057299999999</v>
      </c>
      <c r="AO136" t="s">
        <v>93</v>
      </c>
      <c r="AP136">
        <v>20.798000999999999</v>
      </c>
    </row>
    <row r="137" spans="1:42" x14ac:dyDescent="0.2">
      <c r="A137">
        <v>347</v>
      </c>
      <c r="B137" t="s">
        <v>3</v>
      </c>
      <c r="C137" t="s">
        <v>29</v>
      </c>
      <c r="D137">
        <v>5886.0004900000004</v>
      </c>
      <c r="E137">
        <v>2.3430000000001172E-2</v>
      </c>
      <c r="F137">
        <f t="shared" si="4"/>
        <v>23.430000000001172</v>
      </c>
      <c r="G137">
        <f t="shared" si="5"/>
        <v>251.21641015790465</v>
      </c>
      <c r="H137" t="s">
        <v>27</v>
      </c>
      <c r="J137">
        <v>347</v>
      </c>
      <c r="K137" t="s">
        <v>3</v>
      </c>
      <c r="L137" t="s">
        <v>29</v>
      </c>
      <c r="M137">
        <v>5886.0004900000004</v>
      </c>
      <c r="N137">
        <v>2.3429999999999999E-2</v>
      </c>
      <c r="O137">
        <v>23.43</v>
      </c>
      <c r="P137">
        <v>251.21641020000001</v>
      </c>
      <c r="Q137" t="s">
        <v>27</v>
      </c>
      <c r="S137">
        <v>347</v>
      </c>
      <c r="T137" t="s">
        <v>3</v>
      </c>
      <c r="U137" t="s">
        <v>29</v>
      </c>
      <c r="V137">
        <v>5886.0004900000004</v>
      </c>
      <c r="W137">
        <v>2.3429999999999999E-2</v>
      </c>
      <c r="X137">
        <v>23.43</v>
      </c>
      <c r="Y137">
        <v>251.21641020000001</v>
      </c>
      <c r="AO137" t="s">
        <v>94</v>
      </c>
      <c r="AP137">
        <v>184.55620999999999</v>
      </c>
    </row>
    <row r="138" spans="1:42" x14ac:dyDescent="0.2">
      <c r="A138">
        <v>349</v>
      </c>
      <c r="B138" t="s">
        <v>3</v>
      </c>
      <c r="C138" t="s">
        <v>35</v>
      </c>
      <c r="D138">
        <v>1799.65942</v>
      </c>
      <c r="E138">
        <v>1.9339999999999691E-2</v>
      </c>
      <c r="F138">
        <f t="shared" si="4"/>
        <v>19.339999999999691</v>
      </c>
      <c r="G138">
        <f t="shared" si="5"/>
        <v>93.053744570839129</v>
      </c>
      <c r="H138" t="s">
        <v>33</v>
      </c>
      <c r="J138">
        <v>349</v>
      </c>
      <c r="K138" t="s">
        <v>3</v>
      </c>
      <c r="L138" t="s">
        <v>35</v>
      </c>
      <c r="M138">
        <v>1799.65942</v>
      </c>
      <c r="N138">
        <v>1.934E-2</v>
      </c>
      <c r="O138">
        <v>19.34</v>
      </c>
      <c r="P138">
        <v>93.053744570000006</v>
      </c>
      <c r="Q138" t="s">
        <v>33</v>
      </c>
      <c r="S138">
        <v>349</v>
      </c>
      <c r="T138" t="s">
        <v>3</v>
      </c>
      <c r="U138" t="s">
        <v>35</v>
      </c>
      <c r="V138">
        <v>1799.65942</v>
      </c>
      <c r="W138">
        <v>1.934E-2</v>
      </c>
      <c r="X138">
        <v>19.34</v>
      </c>
      <c r="Y138">
        <v>93.053744570000006</v>
      </c>
      <c r="AO138" t="s">
        <v>95</v>
      </c>
      <c r="AP138">
        <v>100.34951</v>
      </c>
    </row>
    <row r="139" spans="1:42" x14ac:dyDescent="0.2">
      <c r="A139">
        <v>356</v>
      </c>
      <c r="B139" t="s">
        <v>3</v>
      </c>
      <c r="C139" t="s">
        <v>35</v>
      </c>
      <c r="D139">
        <v>6732.3754900000004</v>
      </c>
      <c r="E139">
        <v>2.0749999999999602E-2</v>
      </c>
      <c r="F139">
        <f t="shared" si="4"/>
        <v>20.749999999999602</v>
      </c>
      <c r="G139">
        <f t="shared" si="5"/>
        <v>324.45183084337975</v>
      </c>
      <c r="H139" t="s">
        <v>27</v>
      </c>
      <c r="J139">
        <v>356</v>
      </c>
      <c r="K139" t="s">
        <v>3</v>
      </c>
      <c r="L139" t="s">
        <v>35</v>
      </c>
      <c r="M139">
        <v>6732.3754900000004</v>
      </c>
      <c r="N139">
        <v>2.0750000000000001E-2</v>
      </c>
      <c r="O139">
        <v>20.75</v>
      </c>
      <c r="P139">
        <v>324.45183079999998</v>
      </c>
      <c r="Q139" t="s">
        <v>27</v>
      </c>
      <c r="S139">
        <v>356</v>
      </c>
      <c r="T139" t="s">
        <v>3</v>
      </c>
      <c r="U139" t="s">
        <v>35</v>
      </c>
      <c r="V139">
        <v>6732.3754900000004</v>
      </c>
      <c r="W139">
        <v>2.0750000000000001E-2</v>
      </c>
      <c r="X139">
        <v>20.75</v>
      </c>
      <c r="Y139">
        <v>324.45183079999998</v>
      </c>
      <c r="AO139" t="s">
        <v>96</v>
      </c>
      <c r="AP139">
        <v>39</v>
      </c>
    </row>
    <row r="140" spans="1:42" x14ac:dyDescent="0.2">
      <c r="A140">
        <v>357</v>
      </c>
      <c r="B140" t="s">
        <v>3</v>
      </c>
      <c r="C140" t="s">
        <v>25</v>
      </c>
      <c r="D140">
        <v>1748.94604</v>
      </c>
      <c r="E140">
        <v>1.8670000000000186E-2</v>
      </c>
      <c r="F140">
        <f t="shared" si="4"/>
        <v>18.670000000000186</v>
      </c>
      <c r="G140">
        <f t="shared" si="5"/>
        <v>93.676809855382032</v>
      </c>
      <c r="H140" t="s">
        <v>27</v>
      </c>
      <c r="J140">
        <v>357</v>
      </c>
      <c r="K140" t="s">
        <v>3</v>
      </c>
      <c r="L140" t="s">
        <v>25</v>
      </c>
      <c r="M140">
        <v>1748.94604</v>
      </c>
      <c r="N140">
        <v>1.8669999999999999E-2</v>
      </c>
      <c r="O140">
        <v>18.670000000000002</v>
      </c>
      <c r="P140">
        <v>93.676809860000006</v>
      </c>
      <c r="Q140" t="s">
        <v>27</v>
      </c>
      <c r="S140">
        <v>357</v>
      </c>
      <c r="T140" t="s">
        <v>3</v>
      </c>
      <c r="U140" t="s">
        <v>25</v>
      </c>
      <c r="V140">
        <v>1748.94604</v>
      </c>
      <c r="W140">
        <v>1.8669999999999999E-2</v>
      </c>
      <c r="X140">
        <v>18.670000000000002</v>
      </c>
      <c r="Y140">
        <v>93.676809860000006</v>
      </c>
    </row>
    <row r="141" spans="1:42" x14ac:dyDescent="0.2">
      <c r="A141">
        <v>358</v>
      </c>
      <c r="B141" t="s">
        <v>3</v>
      </c>
      <c r="C141" t="s">
        <v>35</v>
      </c>
      <c r="D141">
        <v>3895.10034</v>
      </c>
      <c r="E141">
        <v>2.1030000000001436E-2</v>
      </c>
      <c r="F141">
        <f t="shared" si="4"/>
        <v>21.030000000001436</v>
      </c>
      <c r="G141">
        <f t="shared" si="5"/>
        <v>185.2163737517705</v>
      </c>
      <c r="H141" t="s">
        <v>33</v>
      </c>
      <c r="J141">
        <v>358</v>
      </c>
      <c r="K141" t="s">
        <v>3</v>
      </c>
      <c r="L141" t="s">
        <v>35</v>
      </c>
      <c r="M141">
        <v>3895.10034</v>
      </c>
      <c r="N141">
        <v>2.103E-2</v>
      </c>
      <c r="O141">
        <v>21.03</v>
      </c>
      <c r="P141">
        <v>185.21637380000001</v>
      </c>
      <c r="Q141" t="s">
        <v>33</v>
      </c>
      <c r="S141">
        <v>358</v>
      </c>
      <c r="T141" t="s">
        <v>3</v>
      </c>
      <c r="U141" t="s">
        <v>35</v>
      </c>
      <c r="V141">
        <v>3895.10034</v>
      </c>
      <c r="W141">
        <v>2.103E-2</v>
      </c>
      <c r="X141">
        <v>21.03</v>
      </c>
      <c r="Y141">
        <v>185.21637380000001</v>
      </c>
    </row>
    <row r="142" spans="1:42" x14ac:dyDescent="0.2">
      <c r="A142">
        <v>366</v>
      </c>
      <c r="B142" t="s">
        <v>3</v>
      </c>
      <c r="C142" t="s">
        <v>35</v>
      </c>
      <c r="D142">
        <v>12590.5</v>
      </c>
      <c r="E142">
        <v>2.7169999999999916E-2</v>
      </c>
      <c r="F142">
        <f t="shared" si="4"/>
        <v>27.169999999999916</v>
      </c>
      <c r="G142">
        <f t="shared" si="5"/>
        <v>463.39712918660427</v>
      </c>
      <c r="H142" t="s">
        <v>27</v>
      </c>
      <c r="J142">
        <v>366</v>
      </c>
      <c r="K142" t="s">
        <v>3</v>
      </c>
      <c r="L142" t="s">
        <v>35</v>
      </c>
      <c r="M142">
        <v>12590.5</v>
      </c>
      <c r="N142">
        <v>2.717E-2</v>
      </c>
      <c r="O142">
        <v>27.17</v>
      </c>
      <c r="P142">
        <v>463.39712919999999</v>
      </c>
      <c r="Q142" t="s">
        <v>27</v>
      </c>
      <c r="S142">
        <v>366</v>
      </c>
      <c r="T142" t="s">
        <v>3</v>
      </c>
      <c r="U142" t="s">
        <v>35</v>
      </c>
      <c r="V142">
        <v>12590.5</v>
      </c>
      <c r="W142">
        <v>2.717E-2</v>
      </c>
      <c r="X142">
        <v>27.17</v>
      </c>
      <c r="Y142">
        <v>463.39712919999999</v>
      </c>
    </row>
    <row r="143" spans="1:42" x14ac:dyDescent="0.2">
      <c r="A143">
        <v>372</v>
      </c>
      <c r="B143" t="s">
        <v>3</v>
      </c>
      <c r="C143" t="s">
        <v>25</v>
      </c>
      <c r="D143">
        <v>122.56104000000001</v>
      </c>
      <c r="E143">
        <v>2.117999999999931E-2</v>
      </c>
      <c r="F143">
        <f t="shared" si="4"/>
        <v>21.17999999999931</v>
      </c>
      <c r="G143">
        <f t="shared" si="5"/>
        <v>5.7866402266290837</v>
      </c>
      <c r="H143" t="s">
        <v>27</v>
      </c>
      <c r="J143">
        <v>372</v>
      </c>
      <c r="K143" t="s">
        <v>3</v>
      </c>
      <c r="L143" t="s">
        <v>25</v>
      </c>
      <c r="M143">
        <v>122.56104000000001</v>
      </c>
      <c r="N143">
        <v>2.1180000000000001E-2</v>
      </c>
      <c r="O143">
        <v>21.18</v>
      </c>
      <c r="P143">
        <v>5.7866402270000004</v>
      </c>
      <c r="Q143" t="s">
        <v>27</v>
      </c>
      <c r="S143">
        <v>372</v>
      </c>
      <c r="T143" t="s">
        <v>3</v>
      </c>
      <c r="U143" t="s">
        <v>25</v>
      </c>
      <c r="V143">
        <v>122.56104000000001</v>
      </c>
      <c r="W143">
        <v>2.1180000000000001E-2</v>
      </c>
      <c r="X143">
        <v>21.18</v>
      </c>
      <c r="Y143">
        <v>5.7866402270000004</v>
      </c>
    </row>
    <row r="144" spans="1:42" x14ac:dyDescent="0.2">
      <c r="A144">
        <v>374</v>
      </c>
      <c r="B144" t="s">
        <v>3</v>
      </c>
      <c r="C144" t="s">
        <v>25</v>
      </c>
      <c r="D144">
        <v>0</v>
      </c>
      <c r="E144">
        <v>2.7499999999999858E-2</v>
      </c>
      <c r="F144">
        <f t="shared" si="4"/>
        <v>27.499999999999858</v>
      </c>
      <c r="G144">
        <f t="shared" si="5"/>
        <v>0</v>
      </c>
      <c r="H144" t="s">
        <v>33</v>
      </c>
      <c r="J144">
        <v>374</v>
      </c>
      <c r="K144" t="s">
        <v>3</v>
      </c>
      <c r="L144" t="s">
        <v>25</v>
      </c>
      <c r="M144">
        <v>0</v>
      </c>
      <c r="N144">
        <v>2.75E-2</v>
      </c>
      <c r="O144">
        <v>27.5</v>
      </c>
      <c r="P144">
        <v>0</v>
      </c>
      <c r="Q144" t="s">
        <v>33</v>
      </c>
      <c r="S144">
        <v>374</v>
      </c>
      <c r="T144" t="s">
        <v>3</v>
      </c>
      <c r="U144" t="s">
        <v>25</v>
      </c>
      <c r="V144">
        <v>0</v>
      </c>
      <c r="W144">
        <v>2.75E-2</v>
      </c>
      <c r="X144">
        <v>27.5</v>
      </c>
      <c r="Y144">
        <v>0</v>
      </c>
      <c r="AO144" t="s">
        <v>102</v>
      </c>
    </row>
    <row r="145" spans="1:42" x14ac:dyDescent="0.2">
      <c r="A145">
        <v>377</v>
      </c>
      <c r="B145" t="s">
        <v>3</v>
      </c>
      <c r="C145" t="s">
        <v>35</v>
      </c>
      <c r="D145">
        <v>4600.3491199999999</v>
      </c>
      <c r="E145">
        <v>2.2629999999999484E-2</v>
      </c>
      <c r="F145">
        <f t="shared" si="4"/>
        <v>22.629999999999484</v>
      </c>
      <c r="G145">
        <f t="shared" si="5"/>
        <v>203.28542288997369</v>
      </c>
      <c r="H145" t="s">
        <v>33</v>
      </c>
      <c r="J145">
        <v>377</v>
      </c>
      <c r="K145" t="s">
        <v>3</v>
      </c>
      <c r="L145" t="s">
        <v>35</v>
      </c>
      <c r="M145">
        <v>4600.3491199999999</v>
      </c>
      <c r="N145">
        <v>2.2630000000000001E-2</v>
      </c>
      <c r="O145">
        <v>22.63</v>
      </c>
      <c r="P145">
        <v>203.28542289999999</v>
      </c>
      <c r="Q145" t="s">
        <v>33</v>
      </c>
      <c r="S145">
        <v>377</v>
      </c>
      <c r="T145" t="s">
        <v>3</v>
      </c>
      <c r="U145" t="s">
        <v>35</v>
      </c>
      <c r="V145">
        <v>4600.3491199999999</v>
      </c>
      <c r="W145">
        <v>2.2630000000000001E-2</v>
      </c>
      <c r="X145">
        <v>22.63</v>
      </c>
      <c r="Y145">
        <v>203.28542289999999</v>
      </c>
    </row>
    <row r="146" spans="1:42" x14ac:dyDescent="0.2">
      <c r="A146">
        <v>378</v>
      </c>
      <c r="B146" t="s">
        <v>3</v>
      </c>
      <c r="C146" t="s">
        <v>25</v>
      </c>
      <c r="D146">
        <v>3809.3339799999999</v>
      </c>
      <c r="E146">
        <v>1.9120000000000914E-2</v>
      </c>
      <c r="F146">
        <f t="shared" si="4"/>
        <v>19.120000000000914</v>
      </c>
      <c r="G146">
        <f t="shared" si="5"/>
        <v>199.23294874476034</v>
      </c>
      <c r="H146" t="s">
        <v>27</v>
      </c>
      <c r="J146">
        <v>378</v>
      </c>
      <c r="K146" t="s">
        <v>3</v>
      </c>
      <c r="L146" t="s">
        <v>25</v>
      </c>
      <c r="M146">
        <v>3809.3339799999999</v>
      </c>
      <c r="N146">
        <v>1.9120000000000002E-2</v>
      </c>
      <c r="O146">
        <v>19.12</v>
      </c>
      <c r="P146">
        <v>199.23294870000001</v>
      </c>
      <c r="Q146" t="s">
        <v>27</v>
      </c>
      <c r="S146">
        <v>378</v>
      </c>
      <c r="T146" t="s">
        <v>3</v>
      </c>
      <c r="U146" t="s">
        <v>25</v>
      </c>
      <c r="V146">
        <v>3809.3339799999999</v>
      </c>
      <c r="W146">
        <v>1.9120000000000002E-2</v>
      </c>
      <c r="X146">
        <v>19.12</v>
      </c>
      <c r="Y146">
        <v>199.23294870000001</v>
      </c>
    </row>
    <row r="147" spans="1:42" x14ac:dyDescent="0.2">
      <c r="A147">
        <v>379</v>
      </c>
      <c r="B147" t="s">
        <v>3</v>
      </c>
      <c r="C147" t="s">
        <v>29</v>
      </c>
      <c r="D147">
        <v>0</v>
      </c>
      <c r="E147">
        <v>2.5399999999999423E-2</v>
      </c>
      <c r="F147">
        <f t="shared" si="4"/>
        <v>25.399999999999423</v>
      </c>
      <c r="G147">
        <f t="shared" si="5"/>
        <v>0</v>
      </c>
      <c r="H147" t="s">
        <v>27</v>
      </c>
      <c r="J147">
        <v>379</v>
      </c>
      <c r="K147" t="s">
        <v>3</v>
      </c>
      <c r="L147" t="s">
        <v>29</v>
      </c>
      <c r="M147">
        <v>0</v>
      </c>
      <c r="N147">
        <v>2.5399999999999999E-2</v>
      </c>
      <c r="O147">
        <v>25.4</v>
      </c>
      <c r="P147">
        <v>0</v>
      </c>
      <c r="Q147" t="s">
        <v>27</v>
      </c>
      <c r="S147">
        <v>379</v>
      </c>
      <c r="T147" t="s">
        <v>3</v>
      </c>
      <c r="U147" t="s">
        <v>29</v>
      </c>
      <c r="V147">
        <v>0</v>
      </c>
      <c r="W147">
        <v>2.5399999999999999E-2</v>
      </c>
      <c r="X147">
        <v>25.4</v>
      </c>
      <c r="Y147">
        <v>0</v>
      </c>
      <c r="AO147" t="s">
        <v>60</v>
      </c>
    </row>
    <row r="148" spans="1:42" x14ac:dyDescent="0.2">
      <c r="A148">
        <v>380</v>
      </c>
      <c r="B148" t="s">
        <v>3</v>
      </c>
      <c r="C148" t="s">
        <v>29</v>
      </c>
      <c r="D148">
        <v>1133.9493399999999</v>
      </c>
      <c r="E148">
        <v>1.6990000000001615E-2</v>
      </c>
      <c r="F148">
        <f t="shared" si="4"/>
        <v>16.990000000001615</v>
      </c>
      <c r="G148">
        <f t="shared" si="5"/>
        <v>66.742162448492763</v>
      </c>
      <c r="H148" t="s">
        <v>33</v>
      </c>
      <c r="J148">
        <v>380</v>
      </c>
      <c r="K148" t="s">
        <v>3</v>
      </c>
      <c r="L148" t="s">
        <v>29</v>
      </c>
      <c r="M148">
        <v>1133.9493399999999</v>
      </c>
      <c r="N148">
        <v>1.6990000000000002E-2</v>
      </c>
      <c r="O148">
        <v>16.989999999999998</v>
      </c>
      <c r="P148">
        <v>66.742162449999995</v>
      </c>
      <c r="Q148" t="s">
        <v>33</v>
      </c>
      <c r="S148">
        <v>380</v>
      </c>
      <c r="T148" t="s">
        <v>3</v>
      </c>
      <c r="U148" t="s">
        <v>29</v>
      </c>
      <c r="V148">
        <v>1133.9493399999999</v>
      </c>
      <c r="W148">
        <v>1.6990000000000002E-2</v>
      </c>
      <c r="X148">
        <v>16.989999999999998</v>
      </c>
      <c r="Y148">
        <v>66.742162449999995</v>
      </c>
    </row>
    <row r="149" spans="1:42" x14ac:dyDescent="0.2">
      <c r="A149">
        <v>381</v>
      </c>
      <c r="B149" t="s">
        <v>2</v>
      </c>
      <c r="C149" t="s">
        <v>35</v>
      </c>
      <c r="D149">
        <v>2710.42578</v>
      </c>
      <c r="E149">
        <v>1.8340000000000245E-2</v>
      </c>
      <c r="F149">
        <f t="shared" si="4"/>
        <v>18.340000000000245</v>
      </c>
      <c r="G149">
        <f t="shared" si="5"/>
        <v>147.78766521264797</v>
      </c>
      <c r="H149" t="s">
        <v>33</v>
      </c>
      <c r="J149">
        <v>381</v>
      </c>
      <c r="K149" t="s">
        <v>2</v>
      </c>
      <c r="L149" t="s">
        <v>35</v>
      </c>
      <c r="M149">
        <v>2710.42578</v>
      </c>
      <c r="N149">
        <v>1.8339999999999999E-2</v>
      </c>
      <c r="O149">
        <v>18.34</v>
      </c>
      <c r="P149">
        <v>147.78766519999999</v>
      </c>
      <c r="Q149" t="s">
        <v>33</v>
      </c>
      <c r="S149">
        <v>381</v>
      </c>
      <c r="T149" t="s">
        <v>2</v>
      </c>
      <c r="U149" t="s">
        <v>35</v>
      </c>
      <c r="V149">
        <v>2710.42578</v>
      </c>
      <c r="W149">
        <v>1.8339999999999999E-2</v>
      </c>
      <c r="X149">
        <v>18.34</v>
      </c>
      <c r="Y149">
        <v>147.78766519999999</v>
      </c>
    </row>
    <row r="150" spans="1:42" x14ac:dyDescent="0.2">
      <c r="A150">
        <v>384</v>
      </c>
      <c r="B150" t="s">
        <v>2</v>
      </c>
      <c r="C150" t="s">
        <v>35</v>
      </c>
      <c r="D150">
        <v>2210.7719699999998</v>
      </c>
      <c r="E150">
        <v>2.4949999999998695E-2</v>
      </c>
      <c r="F150">
        <f t="shared" si="4"/>
        <v>24.949999999998695</v>
      </c>
      <c r="G150">
        <f t="shared" si="5"/>
        <v>88.608094989984579</v>
      </c>
      <c r="H150" t="s">
        <v>27</v>
      </c>
      <c r="J150">
        <v>384</v>
      </c>
      <c r="K150" t="s">
        <v>2</v>
      </c>
      <c r="L150" t="s">
        <v>35</v>
      </c>
      <c r="M150">
        <v>2210.7719699999998</v>
      </c>
      <c r="N150">
        <v>2.495E-2</v>
      </c>
      <c r="O150">
        <v>24.95</v>
      </c>
      <c r="P150">
        <v>88.608094989999998</v>
      </c>
      <c r="Q150" t="s">
        <v>27</v>
      </c>
      <c r="S150">
        <v>384</v>
      </c>
      <c r="T150" t="s">
        <v>2</v>
      </c>
      <c r="U150" t="s">
        <v>35</v>
      </c>
      <c r="V150">
        <v>2210.7719699999998</v>
      </c>
      <c r="W150">
        <v>2.495E-2</v>
      </c>
      <c r="X150">
        <v>24.95</v>
      </c>
      <c r="Y150">
        <v>88.608094989999998</v>
      </c>
    </row>
    <row r="151" spans="1:42" x14ac:dyDescent="0.2">
      <c r="A151">
        <v>387</v>
      </c>
      <c r="B151" t="s">
        <v>2</v>
      </c>
      <c r="C151" t="s">
        <v>29</v>
      </c>
      <c r="D151">
        <v>1649.15039</v>
      </c>
      <c r="E151">
        <v>2.0850000000001145E-2</v>
      </c>
      <c r="F151">
        <f t="shared" si="4"/>
        <v>20.850000000001145</v>
      </c>
      <c r="G151">
        <f t="shared" si="5"/>
        <v>79.095941966422515</v>
      </c>
      <c r="H151" t="s">
        <v>27</v>
      </c>
      <c r="J151">
        <v>387</v>
      </c>
      <c r="K151" t="s">
        <v>2</v>
      </c>
      <c r="L151" t="s">
        <v>29</v>
      </c>
      <c r="M151">
        <v>1649.15039</v>
      </c>
      <c r="N151">
        <v>2.085E-2</v>
      </c>
      <c r="O151">
        <v>20.85</v>
      </c>
      <c r="P151">
        <v>79.095941969999998</v>
      </c>
      <c r="Q151" t="s">
        <v>27</v>
      </c>
      <c r="S151">
        <v>387</v>
      </c>
      <c r="T151" t="s">
        <v>2</v>
      </c>
      <c r="U151" t="s">
        <v>29</v>
      </c>
      <c r="V151">
        <v>1649.15039</v>
      </c>
      <c r="W151">
        <v>2.085E-2</v>
      </c>
      <c r="X151">
        <v>20.85</v>
      </c>
      <c r="Y151">
        <v>79.095941969999998</v>
      </c>
    </row>
    <row r="152" spans="1:42" x14ac:dyDescent="0.2">
      <c r="A152">
        <v>388</v>
      </c>
      <c r="B152" t="s">
        <v>2</v>
      </c>
      <c r="C152" t="s">
        <v>29</v>
      </c>
      <c r="D152">
        <v>853.56329000000005</v>
      </c>
      <c r="E152">
        <v>1.8950000000000244E-2</v>
      </c>
      <c r="F152">
        <f t="shared" si="4"/>
        <v>18.950000000000244</v>
      </c>
      <c r="G152">
        <f t="shared" si="5"/>
        <v>45.042917678099684</v>
      </c>
      <c r="H152" t="s">
        <v>33</v>
      </c>
      <c r="J152">
        <v>388</v>
      </c>
      <c r="K152" t="s">
        <v>2</v>
      </c>
      <c r="L152" t="s">
        <v>29</v>
      </c>
      <c r="M152">
        <v>853.56329000000005</v>
      </c>
      <c r="N152">
        <v>1.8950000000000002E-2</v>
      </c>
      <c r="O152">
        <v>18.95</v>
      </c>
      <c r="P152">
        <v>45.042917680000002</v>
      </c>
      <c r="Q152" t="s">
        <v>33</v>
      </c>
      <c r="S152">
        <v>388</v>
      </c>
      <c r="T152" t="s">
        <v>2</v>
      </c>
      <c r="U152" t="s">
        <v>29</v>
      </c>
      <c r="V152">
        <v>853.56329000000005</v>
      </c>
      <c r="W152">
        <v>1.8950000000000002E-2</v>
      </c>
      <c r="X152">
        <v>18.95</v>
      </c>
      <c r="Y152">
        <v>45.042917680000002</v>
      </c>
    </row>
    <row r="153" spans="1:42" x14ac:dyDescent="0.2">
      <c r="A153">
        <v>391</v>
      </c>
      <c r="B153" t="s">
        <v>2</v>
      </c>
      <c r="C153" t="s">
        <v>35</v>
      </c>
      <c r="D153">
        <v>2173.9614299999998</v>
      </c>
      <c r="E153">
        <v>2.178999999999931E-2</v>
      </c>
      <c r="F153">
        <f t="shared" si="4"/>
        <v>21.78999999999931</v>
      </c>
      <c r="G153">
        <f t="shared" si="5"/>
        <v>99.768766865537799</v>
      </c>
      <c r="H153" t="s">
        <v>33</v>
      </c>
      <c r="J153">
        <v>391</v>
      </c>
      <c r="K153" t="s">
        <v>2</v>
      </c>
      <c r="L153" t="s">
        <v>35</v>
      </c>
      <c r="M153">
        <v>2173.9614299999998</v>
      </c>
      <c r="N153">
        <v>2.179E-2</v>
      </c>
      <c r="O153">
        <v>21.79</v>
      </c>
      <c r="P153">
        <v>99.768766869999993</v>
      </c>
      <c r="Q153" t="s">
        <v>33</v>
      </c>
      <c r="S153">
        <v>391</v>
      </c>
      <c r="T153" t="s">
        <v>2</v>
      </c>
      <c r="U153" t="s">
        <v>35</v>
      </c>
      <c r="V153">
        <v>2173.9614299999998</v>
      </c>
      <c r="W153">
        <v>2.179E-2</v>
      </c>
      <c r="X153">
        <v>21.79</v>
      </c>
      <c r="Y153">
        <v>99.768766869999993</v>
      </c>
      <c r="AO153" t="s">
        <v>90</v>
      </c>
    </row>
    <row r="154" spans="1:42" x14ac:dyDescent="0.2">
      <c r="A154">
        <v>392</v>
      </c>
      <c r="B154" t="s">
        <v>3</v>
      </c>
      <c r="C154" t="s">
        <v>29</v>
      </c>
      <c r="D154">
        <v>3900.8095699999999</v>
      </c>
      <c r="E154">
        <v>2.4430000000000618E-2</v>
      </c>
      <c r="F154">
        <f t="shared" si="4"/>
        <v>24.430000000000618</v>
      </c>
      <c r="G154">
        <f t="shared" si="5"/>
        <v>159.67292550142861</v>
      </c>
      <c r="H154" t="s">
        <v>27</v>
      </c>
      <c r="J154">
        <v>392</v>
      </c>
      <c r="K154" t="s">
        <v>3</v>
      </c>
      <c r="L154" t="s">
        <v>29</v>
      </c>
      <c r="M154">
        <v>3900.8095699999999</v>
      </c>
      <c r="N154">
        <v>2.443E-2</v>
      </c>
      <c r="O154">
        <v>24.43</v>
      </c>
      <c r="P154">
        <v>159.67292549999999</v>
      </c>
      <c r="Q154" t="s">
        <v>27</v>
      </c>
      <c r="S154">
        <v>392</v>
      </c>
      <c r="T154" t="s">
        <v>3</v>
      </c>
      <c r="U154" t="s">
        <v>29</v>
      </c>
      <c r="V154">
        <v>3900.8095699999999</v>
      </c>
      <c r="W154">
        <v>2.443E-2</v>
      </c>
      <c r="X154">
        <v>24.43</v>
      </c>
      <c r="Y154">
        <v>159.67292549999999</v>
      </c>
    </row>
    <row r="155" spans="1:42" x14ac:dyDescent="0.2">
      <c r="A155">
        <v>394</v>
      </c>
      <c r="B155" t="s">
        <v>2</v>
      </c>
      <c r="C155" t="s">
        <v>25</v>
      </c>
      <c r="D155">
        <v>1836.9093</v>
      </c>
      <c r="E155">
        <v>1.9140000000000157E-2</v>
      </c>
      <c r="F155">
        <f t="shared" si="4"/>
        <v>19.140000000000157</v>
      </c>
      <c r="G155">
        <f t="shared" si="5"/>
        <v>95.972272727271942</v>
      </c>
      <c r="H155" t="s">
        <v>33</v>
      </c>
      <c r="J155">
        <v>394</v>
      </c>
      <c r="K155" t="s">
        <v>2</v>
      </c>
      <c r="L155" t="s">
        <v>25</v>
      </c>
      <c r="M155">
        <v>1836.9093</v>
      </c>
      <c r="N155">
        <v>1.9140000000000001E-2</v>
      </c>
      <c r="O155">
        <v>19.14</v>
      </c>
      <c r="P155">
        <v>95.97227273</v>
      </c>
      <c r="Q155" t="s">
        <v>33</v>
      </c>
      <c r="S155">
        <v>394</v>
      </c>
      <c r="T155" t="s">
        <v>2</v>
      </c>
      <c r="U155" t="s">
        <v>25</v>
      </c>
      <c r="V155">
        <v>1836.9093</v>
      </c>
      <c r="W155">
        <v>1.9140000000000001E-2</v>
      </c>
      <c r="X155">
        <v>19.14</v>
      </c>
      <c r="Y155">
        <v>95.97227273</v>
      </c>
      <c r="AO155" t="s">
        <v>91</v>
      </c>
      <c r="AP155" t="s">
        <v>91</v>
      </c>
    </row>
    <row r="156" spans="1:42" x14ac:dyDescent="0.2">
      <c r="A156">
        <v>401</v>
      </c>
      <c r="B156" t="s">
        <v>3</v>
      </c>
      <c r="C156" t="s">
        <v>25</v>
      </c>
      <c r="D156">
        <v>1153.5354</v>
      </c>
      <c r="E156">
        <v>2.2660000000000124E-2</v>
      </c>
      <c r="F156">
        <f t="shared" si="4"/>
        <v>22.660000000000124</v>
      </c>
      <c r="G156">
        <f t="shared" si="5"/>
        <v>50.906240070608725</v>
      </c>
      <c r="H156" t="s">
        <v>33</v>
      </c>
      <c r="J156">
        <v>401</v>
      </c>
      <c r="K156" t="s">
        <v>3</v>
      </c>
      <c r="L156" t="s">
        <v>25</v>
      </c>
      <c r="M156">
        <v>1153.5354</v>
      </c>
      <c r="N156">
        <v>2.266E-2</v>
      </c>
      <c r="O156">
        <v>22.66</v>
      </c>
      <c r="P156">
        <v>50.906240070000003</v>
      </c>
      <c r="Q156" t="s">
        <v>33</v>
      </c>
      <c r="S156">
        <v>401</v>
      </c>
      <c r="T156" t="s">
        <v>3</v>
      </c>
      <c r="U156" t="s">
        <v>25</v>
      </c>
      <c r="V156">
        <v>1153.5354</v>
      </c>
      <c r="W156">
        <v>2.266E-2</v>
      </c>
      <c r="X156">
        <v>22.66</v>
      </c>
      <c r="Y156">
        <v>50.906240070000003</v>
      </c>
      <c r="AO156" t="s">
        <v>69</v>
      </c>
      <c r="AP156">
        <v>173.77028000000001</v>
      </c>
    </row>
    <row r="157" spans="1:42" x14ac:dyDescent="0.2">
      <c r="A157">
        <v>403</v>
      </c>
      <c r="B157" t="s">
        <v>2</v>
      </c>
      <c r="C157" t="s">
        <v>35</v>
      </c>
      <c r="D157">
        <v>2803.5769</v>
      </c>
      <c r="E157">
        <v>1.8980000000000885E-2</v>
      </c>
      <c r="F157">
        <f t="shared" si="4"/>
        <v>18.980000000000885</v>
      </c>
      <c r="G157">
        <f t="shared" si="5"/>
        <v>147.71216543729554</v>
      </c>
      <c r="H157" t="s">
        <v>27</v>
      </c>
      <c r="J157">
        <v>403</v>
      </c>
      <c r="K157" t="s">
        <v>2</v>
      </c>
      <c r="L157" t="s">
        <v>35</v>
      </c>
      <c r="M157">
        <v>2803.5769</v>
      </c>
      <c r="N157">
        <v>1.898E-2</v>
      </c>
      <c r="O157">
        <v>18.98</v>
      </c>
      <c r="P157">
        <v>147.7121654</v>
      </c>
      <c r="Q157" t="s">
        <v>27</v>
      </c>
      <c r="S157">
        <v>403</v>
      </c>
      <c r="T157" t="s">
        <v>2</v>
      </c>
      <c r="U157" t="s">
        <v>35</v>
      </c>
      <c r="V157">
        <v>2803.5769</v>
      </c>
      <c r="W157">
        <v>1.898E-2</v>
      </c>
      <c r="X157">
        <v>18.98</v>
      </c>
      <c r="Y157">
        <v>147.7121654</v>
      </c>
      <c r="AO157" t="s">
        <v>92</v>
      </c>
      <c r="AP157">
        <v>149.98141000000001</v>
      </c>
    </row>
    <row r="158" spans="1:42" x14ac:dyDescent="0.2">
      <c r="A158">
        <v>405</v>
      </c>
      <c r="B158" t="s">
        <v>3</v>
      </c>
      <c r="C158" t="s">
        <v>29</v>
      </c>
      <c r="D158">
        <v>5125.1845700000003</v>
      </c>
      <c r="E158">
        <v>2.6600000000000179E-2</v>
      </c>
      <c r="F158">
        <f t="shared" si="4"/>
        <v>26.600000000000179</v>
      </c>
      <c r="G158">
        <f t="shared" si="5"/>
        <v>192.67611165413405</v>
      </c>
      <c r="H158" t="s">
        <v>27</v>
      </c>
      <c r="J158">
        <v>405</v>
      </c>
      <c r="K158" t="s">
        <v>3</v>
      </c>
      <c r="L158" t="s">
        <v>29</v>
      </c>
      <c r="M158">
        <v>5125.1845700000003</v>
      </c>
      <c r="N158">
        <v>2.6599999999999999E-2</v>
      </c>
      <c r="O158">
        <v>26.6</v>
      </c>
      <c r="P158">
        <v>192.67611170000001</v>
      </c>
      <c r="Q158" t="s">
        <v>27</v>
      </c>
      <c r="S158">
        <v>405</v>
      </c>
      <c r="T158" t="s">
        <v>3</v>
      </c>
      <c r="U158" t="s">
        <v>29</v>
      </c>
      <c r="V158">
        <v>5125.1845700000003</v>
      </c>
      <c r="W158">
        <v>2.6599999999999999E-2</v>
      </c>
      <c r="X158">
        <v>26.6</v>
      </c>
      <c r="Y158">
        <v>192.67611170000001</v>
      </c>
      <c r="AO158" t="s">
        <v>93</v>
      </c>
      <c r="AP158">
        <v>31.273285000000001</v>
      </c>
    </row>
    <row r="159" spans="1:42" x14ac:dyDescent="0.2">
      <c r="A159">
        <v>409</v>
      </c>
      <c r="B159" t="s">
        <v>2</v>
      </c>
      <c r="C159" t="s">
        <v>25</v>
      </c>
      <c r="D159">
        <v>1884.74182</v>
      </c>
      <c r="E159">
        <v>2.2839999999998639E-2</v>
      </c>
      <c r="F159">
        <f t="shared" si="4"/>
        <v>22.839999999998639</v>
      </c>
      <c r="G159">
        <f t="shared" si="5"/>
        <v>82.519344133104738</v>
      </c>
      <c r="H159" t="s">
        <v>33</v>
      </c>
      <c r="J159">
        <v>409</v>
      </c>
      <c r="K159" t="s">
        <v>2</v>
      </c>
      <c r="L159" t="s">
        <v>25</v>
      </c>
      <c r="M159">
        <v>1884.74182</v>
      </c>
      <c r="N159">
        <v>2.2839999999999999E-2</v>
      </c>
      <c r="O159">
        <v>22.84</v>
      </c>
      <c r="P159">
        <v>82.519344129999993</v>
      </c>
      <c r="Q159" t="s">
        <v>33</v>
      </c>
      <c r="S159">
        <v>409</v>
      </c>
      <c r="T159" t="s">
        <v>2</v>
      </c>
      <c r="U159" t="s">
        <v>25</v>
      </c>
      <c r="V159">
        <v>1884.74182</v>
      </c>
      <c r="W159">
        <v>2.2839999999999999E-2</v>
      </c>
      <c r="X159">
        <v>22.84</v>
      </c>
      <c r="Y159">
        <v>82.519344129999993</v>
      </c>
      <c r="AO159" t="s">
        <v>94</v>
      </c>
      <c r="AP159">
        <v>238.62710000000001</v>
      </c>
    </row>
    <row r="160" spans="1:42" x14ac:dyDescent="0.2">
      <c r="A160">
        <v>413</v>
      </c>
      <c r="B160" t="s">
        <v>3</v>
      </c>
      <c r="C160" t="s">
        <v>35</v>
      </c>
      <c r="D160">
        <v>3754.88672</v>
      </c>
      <c r="E160">
        <v>2.4190000000000822E-2</v>
      </c>
      <c r="F160">
        <f t="shared" si="4"/>
        <v>24.190000000000822</v>
      </c>
      <c r="G160">
        <f t="shared" si="5"/>
        <v>155.22475072343417</v>
      </c>
      <c r="H160" t="s">
        <v>33</v>
      </c>
      <c r="J160">
        <v>413</v>
      </c>
      <c r="K160" t="s">
        <v>3</v>
      </c>
      <c r="L160" t="s">
        <v>35</v>
      </c>
      <c r="M160">
        <v>3754.88672</v>
      </c>
      <c r="N160">
        <v>2.419E-2</v>
      </c>
      <c r="O160">
        <v>24.19</v>
      </c>
      <c r="P160">
        <v>155.22475069999999</v>
      </c>
      <c r="Q160" t="s">
        <v>33</v>
      </c>
      <c r="S160">
        <v>413</v>
      </c>
      <c r="T160" t="s">
        <v>3</v>
      </c>
      <c r="U160" t="s">
        <v>35</v>
      </c>
      <c r="V160">
        <v>3754.88672</v>
      </c>
      <c r="W160">
        <v>2.419E-2</v>
      </c>
      <c r="X160">
        <v>24.19</v>
      </c>
      <c r="Y160">
        <v>155.22475069999999</v>
      </c>
      <c r="AO160" t="s">
        <v>95</v>
      </c>
      <c r="AP160">
        <v>108.91345</v>
      </c>
    </row>
    <row r="161" spans="1:42" x14ac:dyDescent="0.2">
      <c r="A161">
        <v>417</v>
      </c>
      <c r="B161" t="s">
        <v>3</v>
      </c>
      <c r="C161" t="s">
        <v>35</v>
      </c>
      <c r="D161">
        <v>2892.1789600000002</v>
      </c>
      <c r="E161">
        <v>2.1950000000000358E-2</v>
      </c>
      <c r="F161">
        <f t="shared" si="4"/>
        <v>21.950000000000358</v>
      </c>
      <c r="G161">
        <f t="shared" si="5"/>
        <v>131.76213940774272</v>
      </c>
      <c r="H161" t="s">
        <v>27</v>
      </c>
      <c r="J161">
        <v>417</v>
      </c>
      <c r="K161" t="s">
        <v>3</v>
      </c>
      <c r="L161" t="s">
        <v>35</v>
      </c>
      <c r="M161">
        <v>2892.1789600000002</v>
      </c>
      <c r="N161">
        <v>2.1950000000000001E-2</v>
      </c>
      <c r="O161">
        <v>21.95</v>
      </c>
      <c r="P161">
        <v>131.7621394</v>
      </c>
      <c r="Q161" t="s">
        <v>27</v>
      </c>
      <c r="S161">
        <v>417</v>
      </c>
      <c r="T161" t="s">
        <v>3</v>
      </c>
      <c r="U161" t="s">
        <v>35</v>
      </c>
      <c r="V161">
        <v>2892.1789600000002</v>
      </c>
      <c r="W161">
        <v>2.1950000000000001E-2</v>
      </c>
      <c r="X161">
        <v>21.95</v>
      </c>
      <c r="Y161">
        <v>131.7621394</v>
      </c>
      <c r="AO161" t="s">
        <v>96</v>
      </c>
      <c r="AP161">
        <v>23</v>
      </c>
    </row>
    <row r="162" spans="1:42" x14ac:dyDescent="0.2">
      <c r="A162">
        <v>418</v>
      </c>
      <c r="B162" t="s">
        <v>3</v>
      </c>
      <c r="C162" t="s">
        <v>25</v>
      </c>
      <c r="D162">
        <v>3032.7077599999998</v>
      </c>
      <c r="E162">
        <v>1.6929999999998557E-2</v>
      </c>
      <c r="F162">
        <f t="shared" si="4"/>
        <v>16.929999999998557</v>
      </c>
      <c r="G162">
        <f t="shared" si="5"/>
        <v>179.1321772002515</v>
      </c>
      <c r="H162" t="s">
        <v>27</v>
      </c>
      <c r="J162">
        <v>418</v>
      </c>
      <c r="K162" t="s">
        <v>3</v>
      </c>
      <c r="L162" t="s">
        <v>25</v>
      </c>
      <c r="M162">
        <v>3032.7077599999998</v>
      </c>
      <c r="N162">
        <v>1.6930000000000001E-2</v>
      </c>
      <c r="O162">
        <v>16.93</v>
      </c>
      <c r="P162">
        <v>179.1321772</v>
      </c>
      <c r="Q162" t="s">
        <v>27</v>
      </c>
      <c r="S162">
        <v>418</v>
      </c>
      <c r="T162" t="s">
        <v>3</v>
      </c>
      <c r="U162" t="s">
        <v>25</v>
      </c>
      <c r="V162">
        <v>3032.7077599999998</v>
      </c>
      <c r="W162">
        <v>1.6930000000000001E-2</v>
      </c>
      <c r="X162">
        <v>16.93</v>
      </c>
      <c r="Y162">
        <v>179.1321772</v>
      </c>
    </row>
    <row r="163" spans="1:42" x14ac:dyDescent="0.2">
      <c r="A163">
        <v>421</v>
      </c>
      <c r="B163" t="s">
        <v>2</v>
      </c>
      <c r="C163" t="s">
        <v>29</v>
      </c>
      <c r="D163">
        <v>3859.0158700000002</v>
      </c>
      <c r="E163">
        <v>2.4060000000000414E-2</v>
      </c>
      <c r="F163">
        <f t="shared" si="4"/>
        <v>24.060000000000414</v>
      </c>
      <c r="G163">
        <f t="shared" si="5"/>
        <v>160.39134954280689</v>
      </c>
      <c r="H163" t="s">
        <v>33</v>
      </c>
      <c r="J163">
        <v>421</v>
      </c>
      <c r="K163" t="s">
        <v>2</v>
      </c>
      <c r="L163" t="s">
        <v>29</v>
      </c>
      <c r="M163">
        <v>3859.0158700000002</v>
      </c>
      <c r="N163">
        <v>2.4060000000000002E-2</v>
      </c>
      <c r="O163">
        <v>24.06</v>
      </c>
      <c r="P163">
        <v>160.39134949999999</v>
      </c>
      <c r="Q163" t="s">
        <v>33</v>
      </c>
      <c r="S163">
        <v>421</v>
      </c>
      <c r="T163" t="s">
        <v>2</v>
      </c>
      <c r="U163" t="s">
        <v>29</v>
      </c>
      <c r="V163">
        <v>3859.0158700000002</v>
      </c>
      <c r="W163">
        <v>2.4060000000000002E-2</v>
      </c>
      <c r="X163">
        <v>24.06</v>
      </c>
      <c r="Y163">
        <v>160.39134949999999</v>
      </c>
    </row>
    <row r="164" spans="1:42" x14ac:dyDescent="0.2">
      <c r="A164">
        <v>423</v>
      </c>
      <c r="B164" t="s">
        <v>2</v>
      </c>
      <c r="C164" t="s">
        <v>35</v>
      </c>
      <c r="D164">
        <v>2047.0732399999999</v>
      </c>
      <c r="E164">
        <v>2.0790000000001641E-2</v>
      </c>
      <c r="F164">
        <f t="shared" si="4"/>
        <v>20.790000000001641</v>
      </c>
      <c r="G164">
        <f t="shared" si="5"/>
        <v>98.464321308313529</v>
      </c>
      <c r="H164" t="s">
        <v>27</v>
      </c>
      <c r="J164">
        <v>423</v>
      </c>
      <c r="K164" t="s">
        <v>2</v>
      </c>
      <c r="L164" t="s">
        <v>35</v>
      </c>
      <c r="M164">
        <v>2047.0732399999999</v>
      </c>
      <c r="N164">
        <v>2.0789999999999999E-2</v>
      </c>
      <c r="O164">
        <v>20.79</v>
      </c>
      <c r="P164">
        <v>98.464321310000003</v>
      </c>
      <c r="Q164" t="s">
        <v>27</v>
      </c>
      <c r="S164">
        <v>423</v>
      </c>
      <c r="T164" t="s">
        <v>2</v>
      </c>
      <c r="U164" t="s">
        <v>35</v>
      </c>
      <c r="V164">
        <v>2047.0732399999999</v>
      </c>
      <c r="W164">
        <v>2.0789999999999999E-2</v>
      </c>
      <c r="X164">
        <v>20.79</v>
      </c>
      <c r="Y164">
        <v>98.464321310000003</v>
      </c>
    </row>
    <row r="165" spans="1:42" x14ac:dyDescent="0.2">
      <c r="A165">
        <v>425</v>
      </c>
      <c r="B165" t="s">
        <v>3</v>
      </c>
      <c r="C165" t="s">
        <v>29</v>
      </c>
      <c r="D165">
        <v>10296.299999999999</v>
      </c>
      <c r="E165">
        <v>1.9940000000000069E-2</v>
      </c>
      <c r="F165">
        <f t="shared" si="4"/>
        <v>19.940000000000069</v>
      </c>
      <c r="G165" s="23">
        <f t="shared" si="5"/>
        <v>516.36409227682873</v>
      </c>
      <c r="H165" t="s">
        <v>27</v>
      </c>
      <c r="J165">
        <v>425</v>
      </c>
      <c r="K165" t="s">
        <v>3</v>
      </c>
      <c r="L165" t="s">
        <v>29</v>
      </c>
      <c r="M165">
        <v>10296.299999999999</v>
      </c>
      <c r="N165">
        <v>1.9939999999999999E-2</v>
      </c>
      <c r="O165">
        <v>19.940000000000001</v>
      </c>
      <c r="Q165" t="s">
        <v>27</v>
      </c>
      <c r="S165">
        <v>425</v>
      </c>
      <c r="T165" t="s">
        <v>3</v>
      </c>
      <c r="U165" t="s">
        <v>29</v>
      </c>
      <c r="V165">
        <v>10296.299999999999</v>
      </c>
      <c r="W165">
        <v>1.9939999999999999E-2</v>
      </c>
      <c r="X165">
        <v>19.940000000000001</v>
      </c>
    </row>
    <row r="166" spans="1:42" x14ac:dyDescent="0.2">
      <c r="A166">
        <v>429</v>
      </c>
      <c r="B166" t="s">
        <v>3</v>
      </c>
      <c r="C166" t="s">
        <v>35</v>
      </c>
      <c r="D166">
        <v>779.17334000000005</v>
      </c>
      <c r="E166">
        <v>1.5439999999999898E-2</v>
      </c>
      <c r="F166">
        <f t="shared" si="4"/>
        <v>15.439999999999898</v>
      </c>
      <c r="G166">
        <f t="shared" si="5"/>
        <v>50.464594559585827</v>
      </c>
      <c r="H166" t="s">
        <v>33</v>
      </c>
      <c r="J166">
        <v>429</v>
      </c>
      <c r="K166" t="s">
        <v>3</v>
      </c>
      <c r="L166" t="s">
        <v>35</v>
      </c>
      <c r="M166">
        <v>779.17334000000005</v>
      </c>
      <c r="N166">
        <v>1.5440000000000001E-2</v>
      </c>
      <c r="O166">
        <v>15.44</v>
      </c>
      <c r="P166">
        <v>50.464594560000002</v>
      </c>
      <c r="Q166" t="s">
        <v>33</v>
      </c>
      <c r="S166">
        <v>429</v>
      </c>
      <c r="T166" t="s">
        <v>3</v>
      </c>
      <c r="U166" t="s">
        <v>35</v>
      </c>
      <c r="V166">
        <v>779.17334000000005</v>
      </c>
      <c r="W166">
        <v>1.5440000000000001E-2</v>
      </c>
      <c r="X166">
        <v>15.44</v>
      </c>
      <c r="Y166">
        <v>50.464594560000002</v>
      </c>
      <c r="AO166" t="s">
        <v>103</v>
      </c>
    </row>
    <row r="167" spans="1:42" x14ac:dyDescent="0.2">
      <c r="A167">
        <v>436</v>
      </c>
      <c r="B167" t="s">
        <v>2</v>
      </c>
      <c r="C167" t="s">
        <v>29</v>
      </c>
      <c r="D167">
        <v>6904.6010699999997</v>
      </c>
      <c r="E167">
        <v>2.1390000000000242E-2</v>
      </c>
      <c r="F167">
        <f t="shared" si="4"/>
        <v>21.390000000000242</v>
      </c>
      <c r="G167" s="23">
        <f t="shared" si="5"/>
        <v>322.79574894810293</v>
      </c>
      <c r="H167" t="s">
        <v>27</v>
      </c>
      <c r="J167">
        <v>436</v>
      </c>
      <c r="K167" t="s">
        <v>2</v>
      </c>
      <c r="L167" t="s">
        <v>29</v>
      </c>
      <c r="M167">
        <v>6904.6010699999997</v>
      </c>
      <c r="N167">
        <v>2.1389999999999999E-2</v>
      </c>
      <c r="O167">
        <v>21.39</v>
      </c>
      <c r="Q167" t="s">
        <v>27</v>
      </c>
      <c r="S167">
        <v>436</v>
      </c>
      <c r="T167" t="s">
        <v>2</v>
      </c>
      <c r="U167" t="s">
        <v>29</v>
      </c>
      <c r="V167">
        <v>6904.6010699999997</v>
      </c>
      <c r="W167">
        <v>2.1389999999999999E-2</v>
      </c>
      <c r="X167">
        <v>21.39</v>
      </c>
    </row>
    <row r="168" spans="1:42" x14ac:dyDescent="0.2">
      <c r="A168">
        <v>441</v>
      </c>
      <c r="B168" t="s">
        <v>2</v>
      </c>
      <c r="C168" t="s">
        <v>35</v>
      </c>
      <c r="D168">
        <v>2206.3806199999999</v>
      </c>
      <c r="E168">
        <v>1.9739999999998759E-2</v>
      </c>
      <c r="F168">
        <f t="shared" si="4"/>
        <v>19.739999999998759</v>
      </c>
      <c r="G168">
        <f t="shared" si="5"/>
        <v>111.77206788247916</v>
      </c>
      <c r="H168" t="s">
        <v>33</v>
      </c>
      <c r="J168">
        <v>441</v>
      </c>
      <c r="K168" t="s">
        <v>2</v>
      </c>
      <c r="L168" t="s">
        <v>35</v>
      </c>
      <c r="M168">
        <v>2206.3806199999999</v>
      </c>
      <c r="N168">
        <v>1.9740000000000001E-2</v>
      </c>
      <c r="O168">
        <v>19.739999999999998</v>
      </c>
      <c r="P168">
        <v>111.7720679</v>
      </c>
      <c r="Q168" t="s">
        <v>33</v>
      </c>
      <c r="S168">
        <v>441</v>
      </c>
      <c r="T168" t="s">
        <v>2</v>
      </c>
      <c r="U168" t="s">
        <v>35</v>
      </c>
      <c r="V168">
        <v>2206.3806199999999</v>
      </c>
      <c r="W168">
        <v>1.9740000000000001E-2</v>
      </c>
      <c r="X168">
        <v>19.739999999999998</v>
      </c>
      <c r="Y168">
        <v>111.7720679</v>
      </c>
    </row>
    <row r="169" spans="1:42" x14ac:dyDescent="0.2">
      <c r="A169">
        <v>442</v>
      </c>
      <c r="B169" t="s">
        <v>2</v>
      </c>
      <c r="C169" t="s">
        <v>29</v>
      </c>
      <c r="D169">
        <v>9412.1484400000008</v>
      </c>
      <c r="E169">
        <v>2.1889999999999077E-2</v>
      </c>
      <c r="F169">
        <f t="shared" si="4"/>
        <v>21.889999999999077</v>
      </c>
      <c r="G169" s="23">
        <f t="shared" si="5"/>
        <v>429.97480310645949</v>
      </c>
      <c r="H169" t="s">
        <v>27</v>
      </c>
      <c r="J169">
        <v>442</v>
      </c>
      <c r="K169" t="s">
        <v>2</v>
      </c>
      <c r="L169" t="s">
        <v>29</v>
      </c>
      <c r="M169">
        <v>9412.1484400000008</v>
      </c>
      <c r="N169">
        <v>2.189E-2</v>
      </c>
      <c r="O169">
        <v>21.89</v>
      </c>
      <c r="Q169" t="s">
        <v>27</v>
      </c>
      <c r="S169">
        <v>442</v>
      </c>
      <c r="T169" t="s">
        <v>2</v>
      </c>
      <c r="U169" t="s">
        <v>29</v>
      </c>
      <c r="V169">
        <v>9412.1484400000008</v>
      </c>
      <c r="W169">
        <v>2.189E-2</v>
      </c>
      <c r="X169">
        <v>21.89</v>
      </c>
      <c r="AO169" t="s">
        <v>60</v>
      </c>
    </row>
    <row r="170" spans="1:42" x14ac:dyDescent="0.2">
      <c r="A170">
        <v>450</v>
      </c>
      <c r="B170" t="s">
        <v>3</v>
      </c>
      <c r="C170" t="s">
        <v>25</v>
      </c>
      <c r="D170">
        <v>1375.41931</v>
      </c>
      <c r="E170">
        <v>1.8000000000000682E-2</v>
      </c>
      <c r="F170">
        <f t="shared" si="4"/>
        <v>18.000000000000682</v>
      </c>
      <c r="G170">
        <f t="shared" si="5"/>
        <v>76.412183888885991</v>
      </c>
      <c r="H170" t="s">
        <v>33</v>
      </c>
      <c r="J170">
        <v>450</v>
      </c>
      <c r="K170" t="s">
        <v>3</v>
      </c>
      <c r="L170" t="s">
        <v>25</v>
      </c>
      <c r="M170">
        <v>1375.41931</v>
      </c>
      <c r="N170">
        <v>1.7999999999999999E-2</v>
      </c>
      <c r="O170">
        <v>18</v>
      </c>
      <c r="P170">
        <v>76.412183889999994</v>
      </c>
      <c r="Q170" t="s">
        <v>33</v>
      </c>
      <c r="S170">
        <v>450</v>
      </c>
      <c r="T170" t="s">
        <v>3</v>
      </c>
      <c r="U170" t="s">
        <v>25</v>
      </c>
      <c r="V170">
        <v>1375.41931</v>
      </c>
      <c r="W170">
        <v>1.7999999999999999E-2</v>
      </c>
      <c r="X170">
        <v>18</v>
      </c>
      <c r="Y170">
        <v>76.412183889999994</v>
      </c>
    </row>
    <row r="171" spans="1:42" x14ac:dyDescent="0.2">
      <c r="A171">
        <v>456</v>
      </c>
      <c r="B171" t="s">
        <v>2</v>
      </c>
      <c r="C171" t="s">
        <v>25</v>
      </c>
      <c r="D171">
        <v>85.234430000000003</v>
      </c>
      <c r="E171">
        <v>1.8420000000000769E-2</v>
      </c>
      <c r="F171">
        <f t="shared" si="4"/>
        <v>18.420000000000769</v>
      </c>
      <c r="G171">
        <f t="shared" si="5"/>
        <v>4.6272763300758113</v>
      </c>
      <c r="H171" t="s">
        <v>33</v>
      </c>
      <c r="J171">
        <v>456</v>
      </c>
      <c r="K171" t="s">
        <v>2</v>
      </c>
      <c r="L171" t="s">
        <v>25</v>
      </c>
      <c r="M171">
        <v>85.234430000000003</v>
      </c>
      <c r="N171">
        <v>1.8419999999999999E-2</v>
      </c>
      <c r="O171">
        <v>18.420000000000002</v>
      </c>
      <c r="P171">
        <v>4.6272763299999999</v>
      </c>
      <c r="Q171" t="s">
        <v>33</v>
      </c>
      <c r="S171">
        <v>456</v>
      </c>
      <c r="T171" t="s">
        <v>2</v>
      </c>
      <c r="U171" t="s">
        <v>25</v>
      </c>
      <c r="V171">
        <v>85.234430000000003</v>
      </c>
      <c r="W171">
        <v>1.8419999999999999E-2</v>
      </c>
      <c r="X171">
        <v>18.420000000000002</v>
      </c>
      <c r="Y171">
        <v>4.6272763299999999</v>
      </c>
    </row>
    <row r="172" spans="1:42" x14ac:dyDescent="0.2">
      <c r="A172">
        <v>458</v>
      </c>
      <c r="B172" t="s">
        <v>2</v>
      </c>
      <c r="C172" t="s">
        <v>25</v>
      </c>
      <c r="D172">
        <v>6158.3110399999996</v>
      </c>
      <c r="E172">
        <v>2.2000000000000242E-2</v>
      </c>
      <c r="F172">
        <f t="shared" si="4"/>
        <v>22.000000000000242</v>
      </c>
      <c r="G172">
        <f t="shared" si="5"/>
        <v>279.92322909090598</v>
      </c>
      <c r="H172" t="s">
        <v>33</v>
      </c>
      <c r="J172">
        <v>458</v>
      </c>
      <c r="K172" t="s">
        <v>2</v>
      </c>
      <c r="L172" t="s">
        <v>25</v>
      </c>
      <c r="M172">
        <v>6158.3110399999996</v>
      </c>
      <c r="N172">
        <v>2.1999999999999999E-2</v>
      </c>
      <c r="O172">
        <v>22</v>
      </c>
      <c r="P172">
        <v>279.92322910000001</v>
      </c>
      <c r="Q172" t="s">
        <v>33</v>
      </c>
      <c r="S172">
        <v>458</v>
      </c>
      <c r="T172" t="s">
        <v>2</v>
      </c>
      <c r="U172" t="s">
        <v>25</v>
      </c>
      <c r="V172">
        <v>6158.3110399999996</v>
      </c>
      <c r="W172">
        <v>2.1999999999999999E-2</v>
      </c>
      <c r="X172">
        <v>22</v>
      </c>
      <c r="Y172">
        <v>279.92322910000001</v>
      </c>
    </row>
    <row r="173" spans="1:42" x14ac:dyDescent="0.2">
      <c r="A173">
        <v>459</v>
      </c>
      <c r="B173" t="s">
        <v>2</v>
      </c>
      <c r="C173" t="s">
        <v>29</v>
      </c>
      <c r="D173">
        <v>10458.6</v>
      </c>
      <c r="E173">
        <v>2.3930000000000007E-2</v>
      </c>
      <c r="F173">
        <f t="shared" si="4"/>
        <v>23.930000000000007</v>
      </c>
      <c r="G173" s="23">
        <f t="shared" si="5"/>
        <v>437.04972837442529</v>
      </c>
      <c r="H173" t="s">
        <v>33</v>
      </c>
      <c r="J173">
        <v>459</v>
      </c>
      <c r="K173" t="s">
        <v>2</v>
      </c>
      <c r="L173" t="s">
        <v>29</v>
      </c>
      <c r="M173">
        <v>10458.6</v>
      </c>
      <c r="N173">
        <v>2.393E-2</v>
      </c>
      <c r="O173">
        <v>23.93</v>
      </c>
      <c r="Q173" t="s">
        <v>33</v>
      </c>
      <c r="S173">
        <v>459</v>
      </c>
      <c r="T173" t="s">
        <v>2</v>
      </c>
      <c r="U173" t="s">
        <v>29</v>
      </c>
      <c r="V173">
        <v>10458.6</v>
      </c>
      <c r="W173">
        <v>2.393E-2</v>
      </c>
      <c r="X173">
        <v>23.93</v>
      </c>
    </row>
    <row r="174" spans="1:42" x14ac:dyDescent="0.2">
      <c r="A174">
        <v>466</v>
      </c>
      <c r="B174" t="s">
        <v>2</v>
      </c>
      <c r="C174" t="s">
        <v>29</v>
      </c>
      <c r="D174">
        <v>3054.6948200000002</v>
      </c>
      <c r="E174">
        <v>1.8710000000000448E-2</v>
      </c>
      <c r="F174">
        <f t="shared" si="4"/>
        <v>18.710000000000448</v>
      </c>
      <c r="G174">
        <f t="shared" si="5"/>
        <v>163.26535649384965</v>
      </c>
      <c r="H174" t="s">
        <v>33</v>
      </c>
      <c r="J174">
        <v>466</v>
      </c>
      <c r="K174" t="s">
        <v>2</v>
      </c>
      <c r="L174" t="s">
        <v>29</v>
      </c>
      <c r="M174">
        <v>3054.6948200000002</v>
      </c>
      <c r="N174">
        <v>1.8710000000000001E-2</v>
      </c>
      <c r="O174">
        <v>18.71</v>
      </c>
      <c r="P174">
        <v>163.2653565</v>
      </c>
      <c r="Q174" t="s">
        <v>33</v>
      </c>
      <c r="S174">
        <v>466</v>
      </c>
      <c r="T174" t="s">
        <v>2</v>
      </c>
      <c r="U174" t="s">
        <v>29</v>
      </c>
      <c r="V174">
        <v>3054.6948200000002</v>
      </c>
      <c r="W174">
        <v>1.8710000000000001E-2</v>
      </c>
      <c r="X174">
        <v>18.71</v>
      </c>
      <c r="Y174">
        <v>163.2653565</v>
      </c>
    </row>
    <row r="175" spans="1:42" x14ac:dyDescent="0.2">
      <c r="AO175" t="s">
        <v>90</v>
      </c>
    </row>
    <row r="177" spans="41:42" x14ac:dyDescent="0.2">
      <c r="AO177" t="s">
        <v>91</v>
      </c>
      <c r="AP177" t="s">
        <v>91</v>
      </c>
    </row>
    <row r="178" spans="41:42" x14ac:dyDescent="0.2">
      <c r="AO178" t="s">
        <v>69</v>
      </c>
      <c r="AP178">
        <v>146.19629</v>
      </c>
    </row>
    <row r="179" spans="41:42" x14ac:dyDescent="0.2">
      <c r="AO179" t="s">
        <v>92</v>
      </c>
      <c r="AP179">
        <v>116.34451</v>
      </c>
    </row>
    <row r="180" spans="41:42" x14ac:dyDescent="0.2">
      <c r="AO180" t="s">
        <v>93</v>
      </c>
      <c r="AP180">
        <v>22.817036000000002</v>
      </c>
    </row>
    <row r="181" spans="41:42" x14ac:dyDescent="0.2">
      <c r="AO181" t="s">
        <v>94</v>
      </c>
      <c r="AP181">
        <v>193.18885</v>
      </c>
    </row>
    <row r="182" spans="41:42" x14ac:dyDescent="0.2">
      <c r="AO182" t="s">
        <v>95</v>
      </c>
      <c r="AP182">
        <v>99.203719000000007</v>
      </c>
    </row>
    <row r="183" spans="41:42" x14ac:dyDescent="0.2">
      <c r="AO183" t="s">
        <v>96</v>
      </c>
      <c r="AP183">
        <v>26</v>
      </c>
    </row>
    <row r="188" spans="41:42" x14ac:dyDescent="0.2">
      <c r="AO188" t="s">
        <v>104</v>
      </c>
    </row>
    <row r="191" spans="41:42" x14ac:dyDescent="0.2">
      <c r="AO191" t="s">
        <v>60</v>
      </c>
    </row>
    <row r="197" spans="41:42" x14ac:dyDescent="0.2">
      <c r="AO197" t="s">
        <v>90</v>
      </c>
    </row>
    <row r="199" spans="41:42" x14ac:dyDescent="0.2">
      <c r="AO199" t="s">
        <v>91</v>
      </c>
      <c r="AP199" t="s">
        <v>91</v>
      </c>
    </row>
    <row r="200" spans="41:42" x14ac:dyDescent="0.2">
      <c r="AO200" t="s">
        <v>69</v>
      </c>
      <c r="AP200">
        <v>162.07281</v>
      </c>
    </row>
    <row r="201" spans="41:42" x14ac:dyDescent="0.2">
      <c r="AO201" t="s">
        <v>92</v>
      </c>
      <c r="AP201">
        <v>145.73331999999999</v>
      </c>
    </row>
    <row r="202" spans="41:42" x14ac:dyDescent="0.2">
      <c r="AO202" t="s">
        <v>93</v>
      </c>
      <c r="AP202">
        <v>29.747688</v>
      </c>
    </row>
    <row r="203" spans="41:42" x14ac:dyDescent="0.2">
      <c r="AO203" t="s">
        <v>94</v>
      </c>
      <c r="AP203">
        <v>223.61059</v>
      </c>
    </row>
    <row r="204" spans="41:42" x14ac:dyDescent="0.2">
      <c r="AO204" t="s">
        <v>95</v>
      </c>
      <c r="AP204">
        <v>100.53502</v>
      </c>
    </row>
    <row r="205" spans="41:42" x14ac:dyDescent="0.2">
      <c r="AO205" t="s">
        <v>96</v>
      </c>
      <c r="AP205">
        <v>24</v>
      </c>
    </row>
    <row r="210" spans="41:42" x14ac:dyDescent="0.2">
      <c r="AO210" t="s">
        <v>105</v>
      </c>
    </row>
    <row r="213" spans="41:42" x14ac:dyDescent="0.2">
      <c r="AO213" t="s">
        <v>60</v>
      </c>
    </row>
    <row r="219" spans="41:42" x14ac:dyDescent="0.2">
      <c r="AO219" t="s">
        <v>90</v>
      </c>
    </row>
    <row r="221" spans="41:42" x14ac:dyDescent="0.2">
      <c r="AO221" t="s">
        <v>91</v>
      </c>
      <c r="AP221" t="s">
        <v>91</v>
      </c>
    </row>
    <row r="222" spans="41:42" x14ac:dyDescent="0.2">
      <c r="AO222" t="s">
        <v>69</v>
      </c>
      <c r="AP222">
        <v>151.46243999999999</v>
      </c>
    </row>
    <row r="223" spans="41:42" x14ac:dyDescent="0.2">
      <c r="AO223" t="s">
        <v>92</v>
      </c>
      <c r="AP223">
        <v>108.29165999999999</v>
      </c>
    </row>
    <row r="224" spans="41:42" x14ac:dyDescent="0.2">
      <c r="AO224" t="s">
        <v>93</v>
      </c>
      <c r="AP224">
        <v>20.465199999999999</v>
      </c>
    </row>
    <row r="225" spans="41:42" x14ac:dyDescent="0.2">
      <c r="AO225" t="s">
        <v>94</v>
      </c>
      <c r="AP225">
        <v>193.45356000000001</v>
      </c>
    </row>
    <row r="226" spans="41:42" x14ac:dyDescent="0.2">
      <c r="AO226" t="s">
        <v>95</v>
      </c>
      <c r="AP226">
        <v>109.47131</v>
      </c>
    </row>
    <row r="227" spans="41:42" x14ac:dyDescent="0.2">
      <c r="AO227" t="s">
        <v>96</v>
      </c>
      <c r="AP227">
        <v>28</v>
      </c>
    </row>
  </sheetData>
  <sortState xmlns:xlrd2="http://schemas.microsoft.com/office/spreadsheetml/2017/richdata2" ref="S4:V175">
    <sortCondition ref="S4:S175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224"/>
  <sheetViews>
    <sheetView topLeftCell="AI1" workbookViewId="0">
      <selection activeCell="BA13" sqref="BA13"/>
    </sheetView>
  </sheetViews>
  <sheetFormatPr baseColWidth="10" defaultColWidth="8.83203125" defaultRowHeight="15" x14ac:dyDescent="0.2"/>
  <cols>
    <col min="2" max="2" width="10.83203125" customWidth="1"/>
    <col min="3" max="4" width="9.1640625" customWidth="1"/>
  </cols>
  <sheetData>
    <row r="1" spans="1:46" ht="206.25" customHeight="1" x14ac:dyDescent="0.2"/>
    <row r="2" spans="1:46" x14ac:dyDescent="0.2">
      <c r="A2" t="s">
        <v>88</v>
      </c>
    </row>
    <row r="3" spans="1:46" ht="48" x14ac:dyDescent="0.2">
      <c r="A3" s="7" t="s">
        <v>6</v>
      </c>
      <c r="B3" s="7" t="s">
        <v>7</v>
      </c>
      <c r="C3" s="7" t="s">
        <v>21</v>
      </c>
      <c r="D3" s="7" t="s">
        <v>22</v>
      </c>
      <c r="E3" s="7" t="s">
        <v>9</v>
      </c>
    </row>
    <row r="4" spans="1:46" x14ac:dyDescent="0.2">
      <c r="A4">
        <v>6</v>
      </c>
      <c r="B4" t="s">
        <v>25</v>
      </c>
      <c r="C4" t="s">
        <v>2</v>
      </c>
      <c r="D4">
        <v>2.88</v>
      </c>
      <c r="E4" t="s">
        <v>27</v>
      </c>
      <c r="P4" t="s">
        <v>224</v>
      </c>
      <c r="AA4" t="s">
        <v>225</v>
      </c>
    </row>
    <row r="5" spans="1:46" x14ac:dyDescent="0.2">
      <c r="A5">
        <v>10</v>
      </c>
      <c r="B5" t="s">
        <v>29</v>
      </c>
      <c r="C5" t="s">
        <v>2</v>
      </c>
      <c r="D5">
        <v>4.08</v>
      </c>
      <c r="E5" t="s">
        <v>27</v>
      </c>
      <c r="AL5" t="s">
        <v>1</v>
      </c>
      <c r="AM5" t="s">
        <v>263</v>
      </c>
      <c r="AN5" t="s">
        <v>264</v>
      </c>
      <c r="AT5" t="s">
        <v>4</v>
      </c>
    </row>
    <row r="6" spans="1:46" x14ac:dyDescent="0.2">
      <c r="A6">
        <v>15</v>
      </c>
      <c r="B6" t="s">
        <v>29</v>
      </c>
      <c r="C6" t="s">
        <v>2</v>
      </c>
      <c r="D6">
        <v>3.9450000000000003</v>
      </c>
      <c r="E6" t="s">
        <v>33</v>
      </c>
      <c r="P6" t="s">
        <v>216</v>
      </c>
    </row>
    <row r="7" spans="1:46" x14ac:dyDescent="0.2">
      <c r="A7">
        <v>17</v>
      </c>
      <c r="B7" t="s">
        <v>35</v>
      </c>
      <c r="C7" t="s">
        <v>2</v>
      </c>
      <c r="D7">
        <v>2.38</v>
      </c>
      <c r="E7" t="s">
        <v>27</v>
      </c>
    </row>
    <row r="8" spans="1:46" x14ac:dyDescent="0.2">
      <c r="A8">
        <v>20</v>
      </c>
      <c r="B8" t="s">
        <v>29</v>
      </c>
      <c r="C8" t="s">
        <v>2</v>
      </c>
      <c r="D8">
        <v>4.5449999999999999</v>
      </c>
      <c r="E8" t="s">
        <v>33</v>
      </c>
      <c r="P8" t="s">
        <v>107</v>
      </c>
      <c r="AA8" t="s">
        <v>219</v>
      </c>
    </row>
    <row r="9" spans="1:46" x14ac:dyDescent="0.2">
      <c r="A9">
        <v>23</v>
      </c>
      <c r="B9" t="s">
        <v>29</v>
      </c>
      <c r="C9" t="s">
        <v>2</v>
      </c>
      <c r="D9">
        <v>3.1850000000000001</v>
      </c>
      <c r="E9" t="s">
        <v>27</v>
      </c>
      <c r="P9">
        <v>1</v>
      </c>
    </row>
    <row r="10" spans="1:46" x14ac:dyDescent="0.2">
      <c r="A10">
        <v>25</v>
      </c>
      <c r="B10" t="s">
        <v>29</v>
      </c>
      <c r="C10" t="s">
        <v>2</v>
      </c>
      <c r="D10">
        <v>4.1050000000000004</v>
      </c>
      <c r="E10" t="s">
        <v>33</v>
      </c>
      <c r="AA10" t="s">
        <v>107</v>
      </c>
    </row>
    <row r="11" spans="1:46" x14ac:dyDescent="0.2">
      <c r="A11">
        <v>31</v>
      </c>
      <c r="B11" t="s">
        <v>29</v>
      </c>
      <c r="C11" t="s">
        <v>2</v>
      </c>
      <c r="D11">
        <v>4.1950000000000003</v>
      </c>
      <c r="E11" t="s">
        <v>33</v>
      </c>
      <c r="AA11">
        <v>1</v>
      </c>
    </row>
    <row r="12" spans="1:46" x14ac:dyDescent="0.2">
      <c r="A12">
        <v>42</v>
      </c>
      <c r="B12" t="s">
        <v>29</v>
      </c>
      <c r="C12" t="s">
        <v>3</v>
      </c>
      <c r="D12">
        <v>3.9400000000000004</v>
      </c>
      <c r="E12" t="s">
        <v>33</v>
      </c>
      <c r="P12" t="s">
        <v>193</v>
      </c>
    </row>
    <row r="13" spans="1:46" x14ac:dyDescent="0.2">
      <c r="A13">
        <v>43</v>
      </c>
      <c r="B13" t="s">
        <v>25</v>
      </c>
      <c r="C13" t="s">
        <v>2</v>
      </c>
      <c r="D13">
        <v>2.6150000000000002</v>
      </c>
      <c r="E13" t="s">
        <v>33</v>
      </c>
    </row>
    <row r="14" spans="1:46" x14ac:dyDescent="0.2">
      <c r="A14">
        <v>47</v>
      </c>
      <c r="B14" t="s">
        <v>29</v>
      </c>
      <c r="C14" t="s">
        <v>2</v>
      </c>
      <c r="D14">
        <v>2.54</v>
      </c>
      <c r="E14" t="s">
        <v>33</v>
      </c>
      <c r="G14" t="s">
        <v>89</v>
      </c>
      <c r="P14" t="s">
        <v>158</v>
      </c>
      <c r="Q14" t="s">
        <v>82</v>
      </c>
      <c r="R14" t="s">
        <v>194</v>
      </c>
      <c r="S14" t="s">
        <v>195</v>
      </c>
      <c r="T14" t="s">
        <v>196</v>
      </c>
      <c r="U14" t="s">
        <v>197</v>
      </c>
      <c r="AA14" t="s">
        <v>193</v>
      </c>
    </row>
    <row r="15" spans="1:46" x14ac:dyDescent="0.2">
      <c r="A15">
        <v>48</v>
      </c>
      <c r="B15" t="s">
        <v>25</v>
      </c>
      <c r="C15" t="s">
        <v>2</v>
      </c>
      <c r="D15">
        <v>3.47</v>
      </c>
      <c r="E15" t="s">
        <v>33</v>
      </c>
      <c r="G15" t="s">
        <v>22</v>
      </c>
      <c r="P15" t="s">
        <v>2</v>
      </c>
      <c r="Q15">
        <v>30</v>
      </c>
      <c r="R15">
        <v>1099</v>
      </c>
      <c r="S15">
        <v>1050</v>
      </c>
      <c r="T15">
        <v>36.633299999999998</v>
      </c>
      <c r="U15">
        <v>0.58699999999999997</v>
      </c>
    </row>
    <row r="16" spans="1:46" x14ac:dyDescent="0.2">
      <c r="A16">
        <v>50</v>
      </c>
      <c r="B16" t="s">
        <v>35</v>
      </c>
      <c r="C16" t="s">
        <v>2</v>
      </c>
      <c r="D16">
        <v>3.21</v>
      </c>
      <c r="E16" t="s">
        <v>27</v>
      </c>
      <c r="G16" t="s">
        <v>187</v>
      </c>
      <c r="P16" t="s">
        <v>3</v>
      </c>
      <c r="Q16">
        <v>39</v>
      </c>
      <c r="R16">
        <v>1316</v>
      </c>
      <c r="S16">
        <v>1365</v>
      </c>
      <c r="T16">
        <v>33.743600000000001</v>
      </c>
      <c r="U16">
        <v>-0.58699999999999997</v>
      </c>
      <c r="AA16" t="s">
        <v>158</v>
      </c>
      <c r="AB16" t="s">
        <v>82</v>
      </c>
      <c r="AC16" t="s">
        <v>194</v>
      </c>
      <c r="AD16" t="s">
        <v>195</v>
      </c>
      <c r="AE16" t="s">
        <v>196</v>
      </c>
      <c r="AF16" t="s">
        <v>197</v>
      </c>
    </row>
    <row r="17" spans="1:32" x14ac:dyDescent="0.2">
      <c r="A17">
        <v>53</v>
      </c>
      <c r="B17" t="s">
        <v>29</v>
      </c>
      <c r="C17" t="s">
        <v>2</v>
      </c>
      <c r="D17">
        <v>2.5499999999999998</v>
      </c>
      <c r="E17" t="s">
        <v>27</v>
      </c>
      <c r="AA17" t="s">
        <v>29</v>
      </c>
      <c r="AB17">
        <v>69</v>
      </c>
      <c r="AC17">
        <v>6662.5</v>
      </c>
      <c r="AD17">
        <v>5899.5</v>
      </c>
      <c r="AE17">
        <v>96.558000000000007</v>
      </c>
      <c r="AF17">
        <v>2.42</v>
      </c>
    </row>
    <row r="18" spans="1:32" x14ac:dyDescent="0.2">
      <c r="A18">
        <v>54</v>
      </c>
      <c r="B18" t="s">
        <v>29</v>
      </c>
      <c r="C18" t="s">
        <v>3</v>
      </c>
      <c r="D18">
        <v>3.41</v>
      </c>
      <c r="E18" t="s">
        <v>27</v>
      </c>
      <c r="G18" t="s">
        <v>90</v>
      </c>
      <c r="AA18" t="s">
        <v>25</v>
      </c>
      <c r="AB18">
        <v>49</v>
      </c>
      <c r="AC18">
        <v>3005.5</v>
      </c>
      <c r="AD18">
        <v>4189.5</v>
      </c>
      <c r="AE18">
        <v>61.3367</v>
      </c>
      <c r="AF18">
        <v>-4.0720000000000001</v>
      </c>
    </row>
    <row r="19" spans="1:32" x14ac:dyDescent="0.2">
      <c r="A19">
        <v>55</v>
      </c>
      <c r="B19" t="s">
        <v>29</v>
      </c>
      <c r="C19" t="s">
        <v>2</v>
      </c>
      <c r="E19" t="s">
        <v>33</v>
      </c>
      <c r="G19" t="s">
        <v>69</v>
      </c>
      <c r="H19">
        <v>3.4925000000000002</v>
      </c>
      <c r="AA19" t="s">
        <v>35</v>
      </c>
      <c r="AB19">
        <v>52</v>
      </c>
      <c r="AC19">
        <v>4867</v>
      </c>
      <c r="AD19">
        <v>4446</v>
      </c>
      <c r="AE19">
        <v>93.596199999999996</v>
      </c>
      <c r="AF19">
        <v>1.4219999999999999</v>
      </c>
    </row>
    <row r="20" spans="1:32" x14ac:dyDescent="0.2">
      <c r="A20">
        <v>56</v>
      </c>
      <c r="B20" t="s">
        <v>35</v>
      </c>
      <c r="C20" t="s">
        <v>2</v>
      </c>
      <c r="D20">
        <v>3.17</v>
      </c>
      <c r="E20" t="s">
        <v>27</v>
      </c>
      <c r="G20" t="s">
        <v>92</v>
      </c>
      <c r="H20">
        <v>0.65960379999999996</v>
      </c>
    </row>
    <row r="21" spans="1:32" x14ac:dyDescent="0.2">
      <c r="A21">
        <v>57</v>
      </c>
      <c r="B21" t="s">
        <v>35</v>
      </c>
      <c r="C21" t="s">
        <v>2</v>
      </c>
      <c r="D21">
        <v>3.89</v>
      </c>
      <c r="E21" t="s">
        <v>27</v>
      </c>
      <c r="G21" t="s">
        <v>93</v>
      </c>
      <c r="H21">
        <v>0.12042659999999999</v>
      </c>
      <c r="P21" t="s">
        <v>203</v>
      </c>
    </row>
    <row r="22" spans="1:32" x14ac:dyDescent="0.2">
      <c r="A22">
        <v>60</v>
      </c>
      <c r="B22" t="s">
        <v>35</v>
      </c>
      <c r="C22" t="s">
        <v>2</v>
      </c>
      <c r="D22">
        <v>3.25</v>
      </c>
      <c r="E22" t="s">
        <v>27</v>
      </c>
      <c r="G22" t="s">
        <v>94</v>
      </c>
      <c r="H22">
        <v>3.7388001000000002</v>
      </c>
    </row>
    <row r="23" spans="1:32" x14ac:dyDescent="0.2">
      <c r="A23">
        <v>63</v>
      </c>
      <c r="B23" t="s">
        <v>35</v>
      </c>
      <c r="C23" t="s">
        <v>3</v>
      </c>
      <c r="D23">
        <v>3.58</v>
      </c>
      <c r="E23" t="s">
        <v>27</v>
      </c>
      <c r="G23" t="s">
        <v>95</v>
      </c>
      <c r="H23">
        <v>3.2461999000000001</v>
      </c>
      <c r="P23" t="s">
        <v>204</v>
      </c>
      <c r="Q23" t="s">
        <v>205</v>
      </c>
      <c r="R23" t="s">
        <v>206</v>
      </c>
    </row>
    <row r="24" spans="1:32" x14ac:dyDescent="0.2">
      <c r="A24">
        <v>64</v>
      </c>
      <c r="B24" t="s">
        <v>29</v>
      </c>
      <c r="C24" t="s">
        <v>3</v>
      </c>
      <c r="D24">
        <v>3.04</v>
      </c>
      <c r="E24" t="s">
        <v>27</v>
      </c>
      <c r="G24" t="s">
        <v>96</v>
      </c>
      <c r="H24">
        <v>30</v>
      </c>
      <c r="P24">
        <v>1099</v>
      </c>
      <c r="Q24">
        <v>0.58711000000000002</v>
      </c>
      <c r="R24">
        <v>0.55710000000000004</v>
      </c>
      <c r="AA24" t="s">
        <v>198</v>
      </c>
    </row>
    <row r="25" spans="1:32" x14ac:dyDescent="0.2">
      <c r="A25">
        <v>70</v>
      </c>
      <c r="B25" t="s">
        <v>35</v>
      </c>
      <c r="C25" t="s">
        <v>3</v>
      </c>
      <c r="D25">
        <v>2.1800000000000002</v>
      </c>
      <c r="E25" t="s">
        <v>27</v>
      </c>
    </row>
    <row r="26" spans="1:32" x14ac:dyDescent="0.2">
      <c r="A26">
        <v>71</v>
      </c>
      <c r="B26" t="s">
        <v>35</v>
      </c>
      <c r="C26" t="s">
        <v>3</v>
      </c>
      <c r="D26">
        <v>3.31</v>
      </c>
      <c r="E26" t="s">
        <v>27</v>
      </c>
      <c r="G26" t="s">
        <v>97</v>
      </c>
      <c r="H26" t="s">
        <v>91</v>
      </c>
      <c r="AA26" t="s">
        <v>199</v>
      </c>
      <c r="AB26" t="s">
        <v>114</v>
      </c>
      <c r="AC26" t="s">
        <v>200</v>
      </c>
    </row>
    <row r="27" spans="1:32" x14ac:dyDescent="0.2">
      <c r="A27">
        <v>72</v>
      </c>
      <c r="B27" t="s">
        <v>25</v>
      </c>
      <c r="C27" t="s">
        <v>2</v>
      </c>
      <c r="D27">
        <v>3.33</v>
      </c>
      <c r="E27" t="s">
        <v>27</v>
      </c>
      <c r="G27" t="s">
        <v>98</v>
      </c>
      <c r="AA27">
        <v>16.701799999999999</v>
      </c>
      <c r="AB27">
        <v>2</v>
      </c>
      <c r="AC27" s="23">
        <v>2.0000000000000001E-4</v>
      </c>
    </row>
    <row r="28" spans="1:32" x14ac:dyDescent="0.2">
      <c r="A28">
        <v>74</v>
      </c>
      <c r="B28" t="s">
        <v>25</v>
      </c>
      <c r="C28" t="s">
        <v>2</v>
      </c>
      <c r="D28">
        <v>3.04</v>
      </c>
      <c r="E28" t="s">
        <v>27</v>
      </c>
      <c r="G28" t="s">
        <v>99</v>
      </c>
    </row>
    <row r="29" spans="1:32" x14ac:dyDescent="0.2">
      <c r="A29">
        <v>80</v>
      </c>
      <c r="B29" t="s">
        <v>35</v>
      </c>
      <c r="C29" t="s">
        <v>2</v>
      </c>
      <c r="D29">
        <v>3.43</v>
      </c>
      <c r="E29" t="s">
        <v>27</v>
      </c>
      <c r="G29" t="s">
        <v>35</v>
      </c>
      <c r="H29" t="s">
        <v>91</v>
      </c>
      <c r="I29" t="s">
        <v>100</v>
      </c>
      <c r="P29" t="s">
        <v>198</v>
      </c>
    </row>
    <row r="30" spans="1:32" x14ac:dyDescent="0.2">
      <c r="A30">
        <v>84</v>
      </c>
      <c r="B30" t="s">
        <v>35</v>
      </c>
      <c r="C30" t="s">
        <v>3</v>
      </c>
      <c r="D30">
        <v>3.81</v>
      </c>
      <c r="E30" t="s">
        <v>27</v>
      </c>
      <c r="G30">
        <v>0.92828900000000003</v>
      </c>
      <c r="H30" t="s">
        <v>91</v>
      </c>
      <c r="I30">
        <v>4.4200000000000003E-2</v>
      </c>
    </row>
    <row r="31" spans="1:32" x14ac:dyDescent="0.2">
      <c r="A31">
        <v>91</v>
      </c>
      <c r="B31" t="s">
        <v>29</v>
      </c>
      <c r="C31" t="s">
        <v>3</v>
      </c>
      <c r="D31">
        <v>2.62</v>
      </c>
      <c r="E31" t="s">
        <v>33</v>
      </c>
      <c r="P31" t="s">
        <v>199</v>
      </c>
      <c r="Q31" t="s">
        <v>114</v>
      </c>
      <c r="R31" t="s">
        <v>200</v>
      </c>
    </row>
    <row r="32" spans="1:32" x14ac:dyDescent="0.2">
      <c r="A32">
        <v>93</v>
      </c>
      <c r="B32" t="s">
        <v>35</v>
      </c>
      <c r="C32" t="s">
        <v>3</v>
      </c>
      <c r="D32">
        <v>3.03</v>
      </c>
      <c r="E32" t="s">
        <v>27</v>
      </c>
      <c r="P32">
        <v>0.3518</v>
      </c>
      <c r="Q32">
        <v>1</v>
      </c>
      <c r="R32" s="23">
        <v>0.55310000000000004</v>
      </c>
    </row>
    <row r="33" spans="1:28" x14ac:dyDescent="0.2">
      <c r="A33">
        <v>96</v>
      </c>
      <c r="B33" t="s">
        <v>35</v>
      </c>
      <c r="C33" t="s">
        <v>2</v>
      </c>
      <c r="D33">
        <v>3.36</v>
      </c>
      <c r="E33" t="s">
        <v>27</v>
      </c>
      <c r="G33" t="s">
        <v>101</v>
      </c>
    </row>
    <row r="34" spans="1:28" x14ac:dyDescent="0.2">
      <c r="A34">
        <v>99</v>
      </c>
      <c r="B34" t="s">
        <v>29</v>
      </c>
      <c r="C34" t="s">
        <v>2</v>
      </c>
      <c r="D34">
        <v>2.5299999999999998</v>
      </c>
      <c r="E34" t="s">
        <v>27</v>
      </c>
      <c r="G34" t="s">
        <v>22</v>
      </c>
    </row>
    <row r="35" spans="1:28" x14ac:dyDescent="0.2">
      <c r="A35">
        <v>100</v>
      </c>
      <c r="B35" t="s">
        <v>29</v>
      </c>
      <c r="C35" t="s">
        <v>3</v>
      </c>
      <c r="D35">
        <v>3.73</v>
      </c>
      <c r="E35" t="s">
        <v>27</v>
      </c>
      <c r="G35" t="s">
        <v>188</v>
      </c>
    </row>
    <row r="36" spans="1:28" x14ac:dyDescent="0.2">
      <c r="A36">
        <v>101</v>
      </c>
      <c r="B36" t="s">
        <v>35</v>
      </c>
      <c r="C36" t="s">
        <v>3</v>
      </c>
      <c r="D36">
        <v>3.65</v>
      </c>
      <c r="E36" t="s">
        <v>27</v>
      </c>
      <c r="AA36" t="s">
        <v>164</v>
      </c>
    </row>
    <row r="37" spans="1:28" x14ac:dyDescent="0.2">
      <c r="A37">
        <v>102</v>
      </c>
      <c r="B37" t="s">
        <v>25</v>
      </c>
      <c r="C37" t="s">
        <v>3</v>
      </c>
      <c r="D37">
        <v>2.48</v>
      </c>
      <c r="E37" t="s">
        <v>33</v>
      </c>
      <c r="G37" t="s">
        <v>90</v>
      </c>
      <c r="P37" t="s">
        <v>217</v>
      </c>
    </row>
    <row r="38" spans="1:28" x14ac:dyDescent="0.2">
      <c r="A38">
        <v>103</v>
      </c>
      <c r="B38" t="s">
        <v>35</v>
      </c>
      <c r="C38" t="s">
        <v>2</v>
      </c>
      <c r="D38">
        <v>3.56</v>
      </c>
      <c r="E38" t="s">
        <v>27</v>
      </c>
      <c r="G38" t="s">
        <v>69</v>
      </c>
      <c r="H38">
        <v>3.4332050999999999</v>
      </c>
    </row>
    <row r="39" spans="1:28" x14ac:dyDescent="0.2">
      <c r="A39">
        <v>105</v>
      </c>
      <c r="B39" t="s">
        <v>29</v>
      </c>
      <c r="C39" t="s">
        <v>2</v>
      </c>
      <c r="D39">
        <v>4.16</v>
      </c>
      <c r="E39" t="s">
        <v>33</v>
      </c>
      <c r="G39" t="s">
        <v>92</v>
      </c>
      <c r="H39">
        <v>0.46525670000000002</v>
      </c>
      <c r="AA39" t="s">
        <v>165</v>
      </c>
    </row>
    <row r="40" spans="1:28" x14ac:dyDescent="0.2">
      <c r="A40">
        <v>111</v>
      </c>
      <c r="B40" t="s">
        <v>25</v>
      </c>
      <c r="C40" t="s">
        <v>2</v>
      </c>
      <c r="D40">
        <v>3.85</v>
      </c>
      <c r="E40" t="s">
        <v>33</v>
      </c>
      <c r="G40" t="s">
        <v>93</v>
      </c>
      <c r="H40">
        <v>7.4500700000000003E-2</v>
      </c>
    </row>
    <row r="41" spans="1:28" x14ac:dyDescent="0.2">
      <c r="A41">
        <v>113</v>
      </c>
      <c r="B41" t="s">
        <v>29</v>
      </c>
      <c r="C41" t="s">
        <v>3</v>
      </c>
      <c r="D41">
        <v>3.12</v>
      </c>
      <c r="E41" t="s">
        <v>27</v>
      </c>
      <c r="G41" t="s">
        <v>94</v>
      </c>
      <c r="H41">
        <v>3.5840239</v>
      </c>
    </row>
    <row r="42" spans="1:28" x14ac:dyDescent="0.2">
      <c r="A42">
        <v>120</v>
      </c>
      <c r="B42" t="s">
        <v>25</v>
      </c>
      <c r="C42" t="s">
        <v>3</v>
      </c>
      <c r="D42">
        <v>2.95</v>
      </c>
      <c r="E42" t="s">
        <v>33</v>
      </c>
      <c r="G42" t="s">
        <v>95</v>
      </c>
      <c r="H42">
        <v>3.2823864</v>
      </c>
      <c r="P42" t="s">
        <v>193</v>
      </c>
      <c r="AA42" t="s">
        <v>166</v>
      </c>
    </row>
    <row r="43" spans="1:28" x14ac:dyDescent="0.2">
      <c r="A43">
        <v>121</v>
      </c>
      <c r="B43" t="s">
        <v>25</v>
      </c>
      <c r="C43" t="s">
        <v>3</v>
      </c>
      <c r="D43">
        <v>2.2200000000000002</v>
      </c>
      <c r="E43" t="s">
        <v>33</v>
      </c>
      <c r="G43" t="s">
        <v>96</v>
      </c>
      <c r="H43">
        <v>39</v>
      </c>
    </row>
    <row r="44" spans="1:28" x14ac:dyDescent="0.2">
      <c r="A44">
        <v>122</v>
      </c>
      <c r="B44" t="s">
        <v>29</v>
      </c>
      <c r="C44" t="s">
        <v>3</v>
      </c>
      <c r="D44">
        <v>3.28</v>
      </c>
      <c r="E44" t="s">
        <v>33</v>
      </c>
      <c r="P44" t="s">
        <v>158</v>
      </c>
      <c r="Q44" t="s">
        <v>82</v>
      </c>
      <c r="R44" t="s">
        <v>194</v>
      </c>
      <c r="S44" t="s">
        <v>195</v>
      </c>
      <c r="T44" t="s">
        <v>196</v>
      </c>
      <c r="U44" t="s">
        <v>197</v>
      </c>
      <c r="AA44" t="s">
        <v>167</v>
      </c>
      <c r="AB44" t="s">
        <v>168</v>
      </c>
    </row>
    <row r="45" spans="1:28" x14ac:dyDescent="0.2">
      <c r="A45">
        <v>126</v>
      </c>
      <c r="B45" t="s">
        <v>25</v>
      </c>
      <c r="C45" t="s">
        <v>3</v>
      </c>
      <c r="D45">
        <v>2.99</v>
      </c>
      <c r="E45" t="s">
        <v>27</v>
      </c>
      <c r="G45" t="s">
        <v>97</v>
      </c>
      <c r="P45" t="s">
        <v>2</v>
      </c>
      <c r="Q45">
        <v>23</v>
      </c>
      <c r="R45">
        <v>667.5</v>
      </c>
      <c r="S45">
        <v>575</v>
      </c>
      <c r="T45">
        <v>29.021699999999999</v>
      </c>
      <c r="U45">
        <v>1.843</v>
      </c>
      <c r="AA45">
        <v>2.3648400000000001</v>
      </c>
      <c r="AB45">
        <v>0.05</v>
      </c>
    </row>
    <row r="46" spans="1:28" x14ac:dyDescent="0.2">
      <c r="A46">
        <v>128</v>
      </c>
      <c r="B46" t="s">
        <v>25</v>
      </c>
      <c r="C46" t="s">
        <v>2</v>
      </c>
      <c r="D46">
        <v>3.39</v>
      </c>
      <c r="E46" t="s">
        <v>33</v>
      </c>
      <c r="G46" t="s">
        <v>98</v>
      </c>
      <c r="P46" t="s">
        <v>3</v>
      </c>
      <c r="Q46">
        <v>26</v>
      </c>
      <c r="R46">
        <v>557.5</v>
      </c>
      <c r="S46">
        <v>650</v>
      </c>
      <c r="T46">
        <v>21.442299999999999</v>
      </c>
      <c r="U46">
        <v>-1.843</v>
      </c>
    </row>
    <row r="47" spans="1:28" x14ac:dyDescent="0.2">
      <c r="A47">
        <v>130</v>
      </c>
      <c r="B47" t="s">
        <v>25</v>
      </c>
      <c r="C47" t="s">
        <v>2</v>
      </c>
      <c r="D47">
        <v>3.78</v>
      </c>
      <c r="E47" t="s">
        <v>33</v>
      </c>
      <c r="G47" t="s">
        <v>99</v>
      </c>
    </row>
    <row r="48" spans="1:28" x14ac:dyDescent="0.2">
      <c r="A48">
        <v>131</v>
      </c>
      <c r="B48" t="s">
        <v>25</v>
      </c>
      <c r="C48" t="s">
        <v>2</v>
      </c>
      <c r="D48">
        <v>4.09</v>
      </c>
      <c r="E48" t="s">
        <v>27</v>
      </c>
      <c r="G48" t="s">
        <v>35</v>
      </c>
      <c r="H48" t="s">
        <v>91</v>
      </c>
      <c r="I48" t="s">
        <v>100</v>
      </c>
    </row>
    <row r="49" spans="1:30" x14ac:dyDescent="0.2">
      <c r="A49">
        <v>132</v>
      </c>
      <c r="B49" t="s">
        <v>25</v>
      </c>
      <c r="C49" t="s">
        <v>2</v>
      </c>
      <c r="D49">
        <v>2.13</v>
      </c>
      <c r="E49" t="s">
        <v>27</v>
      </c>
      <c r="G49">
        <v>0.95160100000000003</v>
      </c>
      <c r="H49" t="s">
        <v>91</v>
      </c>
      <c r="I49">
        <v>9.2999999999999999E-2</v>
      </c>
    </row>
    <row r="50" spans="1:30" x14ac:dyDescent="0.2">
      <c r="A50">
        <v>135</v>
      </c>
      <c r="B50" t="s">
        <v>35</v>
      </c>
      <c r="C50" t="s">
        <v>3</v>
      </c>
      <c r="D50">
        <v>3.84</v>
      </c>
      <c r="E50" t="s">
        <v>27</v>
      </c>
      <c r="AA50" t="s">
        <v>169</v>
      </c>
    </row>
    <row r="51" spans="1:30" x14ac:dyDescent="0.2">
      <c r="A51">
        <v>138</v>
      </c>
      <c r="B51" t="s">
        <v>35</v>
      </c>
      <c r="C51" t="s">
        <v>3</v>
      </c>
      <c r="D51">
        <v>3.92</v>
      </c>
      <c r="E51" t="s">
        <v>27</v>
      </c>
      <c r="P51" t="s">
        <v>203</v>
      </c>
      <c r="AA51" t="s">
        <v>170</v>
      </c>
    </row>
    <row r="52" spans="1:30" x14ac:dyDescent="0.2">
      <c r="A52">
        <v>141</v>
      </c>
      <c r="B52" t="s">
        <v>29</v>
      </c>
      <c r="C52" t="s">
        <v>2</v>
      </c>
      <c r="D52">
        <v>4.22</v>
      </c>
      <c r="E52" t="s">
        <v>33</v>
      </c>
      <c r="G52" t="s">
        <v>102</v>
      </c>
      <c r="AB52" t="s">
        <v>29</v>
      </c>
      <c r="AC52" t="s">
        <v>35</v>
      </c>
      <c r="AD52" t="s">
        <v>25</v>
      </c>
    </row>
    <row r="53" spans="1:30" x14ac:dyDescent="0.2">
      <c r="A53">
        <v>147</v>
      </c>
      <c r="B53" t="s">
        <v>29</v>
      </c>
      <c r="C53" t="s">
        <v>2</v>
      </c>
      <c r="D53">
        <v>2.85</v>
      </c>
      <c r="E53" t="s">
        <v>33</v>
      </c>
      <c r="G53" t="s">
        <v>22</v>
      </c>
      <c r="P53" t="s">
        <v>204</v>
      </c>
      <c r="Q53" t="s">
        <v>205</v>
      </c>
      <c r="R53" t="s">
        <v>206</v>
      </c>
      <c r="AA53" t="s">
        <v>29</v>
      </c>
      <c r="AB53">
        <v>-0.21972</v>
      </c>
      <c r="AC53">
        <v>-0.17802000000000001</v>
      </c>
      <c r="AD53">
        <v>0.20727000000000001</v>
      </c>
    </row>
    <row r="54" spans="1:30" x14ac:dyDescent="0.2">
      <c r="A54">
        <v>150</v>
      </c>
      <c r="B54" t="s">
        <v>25</v>
      </c>
      <c r="C54" t="s">
        <v>2</v>
      </c>
      <c r="D54">
        <v>2.33</v>
      </c>
      <c r="E54" t="s">
        <v>33</v>
      </c>
      <c r="G54" t="s">
        <v>189</v>
      </c>
      <c r="P54">
        <v>667.5</v>
      </c>
      <c r="Q54">
        <v>1.8433600000000001</v>
      </c>
      <c r="R54">
        <v>6.5299999999999997E-2</v>
      </c>
      <c r="AA54" t="s">
        <v>35</v>
      </c>
      <c r="AB54">
        <v>-0.17802000000000001</v>
      </c>
      <c r="AC54">
        <v>-0.25309999999999999</v>
      </c>
      <c r="AD54">
        <v>0.13244</v>
      </c>
    </row>
    <row r="55" spans="1:30" x14ac:dyDescent="0.2">
      <c r="A55">
        <v>157</v>
      </c>
      <c r="B55" t="s">
        <v>35</v>
      </c>
      <c r="C55" t="s">
        <v>3</v>
      </c>
      <c r="D55">
        <v>3.9</v>
      </c>
      <c r="E55" t="s">
        <v>27</v>
      </c>
      <c r="AA55" t="s">
        <v>25</v>
      </c>
      <c r="AB55">
        <v>0.20727000000000001</v>
      </c>
      <c r="AC55">
        <v>0.13244</v>
      </c>
      <c r="AD55">
        <v>-0.26074000000000003</v>
      </c>
    </row>
    <row r="56" spans="1:30" x14ac:dyDescent="0.2">
      <c r="A56">
        <v>158</v>
      </c>
      <c r="B56" t="s">
        <v>29</v>
      </c>
      <c r="C56" t="s">
        <v>3</v>
      </c>
      <c r="D56">
        <v>3.25</v>
      </c>
      <c r="E56" t="s">
        <v>27</v>
      </c>
      <c r="G56" t="s">
        <v>90</v>
      </c>
    </row>
    <row r="57" spans="1:30" x14ac:dyDescent="0.2">
      <c r="A57">
        <v>159</v>
      </c>
      <c r="B57" t="s">
        <v>29</v>
      </c>
      <c r="C57" t="s">
        <v>2</v>
      </c>
      <c r="D57">
        <v>3.59</v>
      </c>
      <c r="E57" t="s">
        <v>27</v>
      </c>
    </row>
    <row r="58" spans="1:30" x14ac:dyDescent="0.2">
      <c r="A58">
        <v>164</v>
      </c>
      <c r="B58" t="s">
        <v>29</v>
      </c>
      <c r="C58" t="s">
        <v>3</v>
      </c>
      <c r="D58">
        <v>2.81</v>
      </c>
      <c r="E58" t="s">
        <v>27</v>
      </c>
      <c r="G58" t="s">
        <v>69</v>
      </c>
      <c r="H58">
        <v>3.1706522000000001</v>
      </c>
      <c r="AA58" t="s">
        <v>171</v>
      </c>
    </row>
    <row r="59" spans="1:30" x14ac:dyDescent="0.2">
      <c r="A59">
        <v>165</v>
      </c>
      <c r="B59" t="s">
        <v>35</v>
      </c>
      <c r="C59" t="s">
        <v>2</v>
      </c>
      <c r="D59">
        <v>3.89</v>
      </c>
      <c r="E59" t="s">
        <v>27</v>
      </c>
      <c r="G59" t="s">
        <v>92</v>
      </c>
      <c r="H59">
        <v>0.51214859999999995</v>
      </c>
      <c r="P59" t="s">
        <v>198</v>
      </c>
    </row>
    <row r="60" spans="1:30" x14ac:dyDescent="0.2">
      <c r="A60">
        <v>166</v>
      </c>
      <c r="B60" t="s">
        <v>35</v>
      </c>
      <c r="C60" t="s">
        <v>2</v>
      </c>
      <c r="D60">
        <v>4.2</v>
      </c>
      <c r="E60" t="s">
        <v>27</v>
      </c>
      <c r="G60" t="s">
        <v>93</v>
      </c>
      <c r="H60">
        <v>0.10679039999999999</v>
      </c>
    </row>
    <row r="61" spans="1:30" x14ac:dyDescent="0.2">
      <c r="A61">
        <v>169</v>
      </c>
      <c r="B61" t="s">
        <v>29</v>
      </c>
      <c r="C61" t="s">
        <v>2</v>
      </c>
      <c r="D61">
        <v>3.77</v>
      </c>
      <c r="E61" t="s">
        <v>27</v>
      </c>
      <c r="G61" t="s">
        <v>94</v>
      </c>
      <c r="H61">
        <v>3.3921218</v>
      </c>
      <c r="P61" t="s">
        <v>199</v>
      </c>
      <c r="Q61" t="s">
        <v>114</v>
      </c>
      <c r="R61" t="s">
        <v>200</v>
      </c>
    </row>
    <row r="62" spans="1:30" x14ac:dyDescent="0.2">
      <c r="A62">
        <v>172</v>
      </c>
      <c r="B62" t="s">
        <v>29</v>
      </c>
      <c r="C62" t="s">
        <v>2</v>
      </c>
      <c r="D62">
        <v>2.89</v>
      </c>
      <c r="E62" t="s">
        <v>33</v>
      </c>
      <c r="G62" t="s">
        <v>95</v>
      </c>
      <c r="H62">
        <v>2.9491825</v>
      </c>
      <c r="P62">
        <v>3.4350000000000001</v>
      </c>
      <c r="Q62">
        <v>1</v>
      </c>
      <c r="R62" s="23">
        <v>6.3799999999999996E-2</v>
      </c>
      <c r="AA62" t="s">
        <v>172</v>
      </c>
    </row>
    <row r="63" spans="1:30" x14ac:dyDescent="0.2">
      <c r="A63">
        <v>177</v>
      </c>
      <c r="B63" t="s">
        <v>25</v>
      </c>
      <c r="C63" t="s">
        <v>3</v>
      </c>
      <c r="D63">
        <v>2.66</v>
      </c>
      <c r="E63" t="s">
        <v>33</v>
      </c>
      <c r="G63" t="s">
        <v>96</v>
      </c>
      <c r="H63">
        <v>23</v>
      </c>
    </row>
    <row r="64" spans="1:30" x14ac:dyDescent="0.2">
      <c r="A64">
        <v>181</v>
      </c>
      <c r="B64" t="s">
        <v>29</v>
      </c>
      <c r="C64" t="s">
        <v>3</v>
      </c>
      <c r="D64">
        <v>3.82</v>
      </c>
      <c r="E64" t="s">
        <v>33</v>
      </c>
      <c r="G64" t="s">
        <v>91</v>
      </c>
      <c r="H64" t="s">
        <v>91</v>
      </c>
    </row>
    <row r="65" spans="1:34" x14ac:dyDescent="0.2">
      <c r="A65">
        <v>183</v>
      </c>
      <c r="B65" t="s">
        <v>25</v>
      </c>
      <c r="C65" t="s">
        <v>3</v>
      </c>
      <c r="D65">
        <v>3.59</v>
      </c>
      <c r="E65" t="s">
        <v>27</v>
      </c>
      <c r="G65" t="s">
        <v>97</v>
      </c>
      <c r="AA65" t="s">
        <v>158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69</v>
      </c>
    </row>
    <row r="66" spans="1:34" x14ac:dyDescent="0.2">
      <c r="A66">
        <v>185</v>
      </c>
      <c r="B66" t="s">
        <v>25</v>
      </c>
      <c r="C66" t="s">
        <v>3</v>
      </c>
      <c r="D66">
        <v>3.16</v>
      </c>
      <c r="E66" t="s">
        <v>33</v>
      </c>
      <c r="G66" t="s">
        <v>98</v>
      </c>
      <c r="AA66" t="s">
        <v>29</v>
      </c>
      <c r="AB66" t="s">
        <v>173</v>
      </c>
      <c r="AC66" t="s">
        <v>91</v>
      </c>
      <c r="AH66">
        <v>3.4589854999999998</v>
      </c>
    </row>
    <row r="67" spans="1:34" x14ac:dyDescent="0.2">
      <c r="A67">
        <v>186</v>
      </c>
      <c r="B67" t="s">
        <v>25</v>
      </c>
      <c r="C67" t="s">
        <v>3</v>
      </c>
      <c r="D67">
        <v>4.1500000000000004</v>
      </c>
      <c r="E67" t="s">
        <v>27</v>
      </c>
      <c r="G67" t="s">
        <v>99</v>
      </c>
      <c r="P67" t="s">
        <v>218</v>
      </c>
      <c r="AA67" t="s">
        <v>35</v>
      </c>
      <c r="AB67" t="s">
        <v>173</v>
      </c>
      <c r="AC67" t="s">
        <v>91</v>
      </c>
      <c r="AH67">
        <v>3.4</v>
      </c>
    </row>
    <row r="68" spans="1:34" x14ac:dyDescent="0.2">
      <c r="A68">
        <v>189</v>
      </c>
      <c r="B68" t="s">
        <v>35</v>
      </c>
      <c r="C68" t="s">
        <v>3</v>
      </c>
      <c r="D68">
        <v>3.34</v>
      </c>
      <c r="E68" t="s">
        <v>27</v>
      </c>
      <c r="G68" t="s">
        <v>35</v>
      </c>
      <c r="H68" t="s">
        <v>91</v>
      </c>
      <c r="I68" t="s">
        <v>100</v>
      </c>
      <c r="AA68" t="s">
        <v>25</v>
      </c>
      <c r="AB68" t="s">
        <v>91</v>
      </c>
      <c r="AC68" t="s">
        <v>226</v>
      </c>
      <c r="AH68">
        <v>3.0106122000000002</v>
      </c>
    </row>
    <row r="69" spans="1:34" x14ac:dyDescent="0.2">
      <c r="A69">
        <v>190</v>
      </c>
      <c r="B69" t="s">
        <v>29</v>
      </c>
      <c r="C69" t="s">
        <v>3</v>
      </c>
      <c r="D69">
        <v>3.59</v>
      </c>
      <c r="E69" t="s">
        <v>27</v>
      </c>
      <c r="G69">
        <v>0.98317600000000005</v>
      </c>
      <c r="H69" t="s">
        <v>91</v>
      </c>
      <c r="I69">
        <v>0.95250000000000001</v>
      </c>
    </row>
    <row r="70" spans="1:34" x14ac:dyDescent="0.2">
      <c r="A70">
        <v>192</v>
      </c>
      <c r="B70" t="s">
        <v>29</v>
      </c>
      <c r="C70" t="s">
        <v>3</v>
      </c>
      <c r="D70">
        <v>3.8</v>
      </c>
      <c r="E70" t="s">
        <v>33</v>
      </c>
    </row>
    <row r="71" spans="1:34" x14ac:dyDescent="0.2">
      <c r="A71">
        <v>193</v>
      </c>
      <c r="B71" t="s">
        <v>25</v>
      </c>
      <c r="C71" t="s">
        <v>3</v>
      </c>
      <c r="D71">
        <v>3.2</v>
      </c>
      <c r="E71" t="s">
        <v>33</v>
      </c>
      <c r="AA71" t="s">
        <v>174</v>
      </c>
    </row>
    <row r="72" spans="1:34" x14ac:dyDescent="0.2">
      <c r="A72">
        <v>194</v>
      </c>
      <c r="B72" t="s">
        <v>29</v>
      </c>
      <c r="C72" t="s">
        <v>2</v>
      </c>
      <c r="D72">
        <v>4.3</v>
      </c>
      <c r="E72" t="s">
        <v>33</v>
      </c>
      <c r="G72" t="s">
        <v>103</v>
      </c>
      <c r="P72" t="s">
        <v>193</v>
      </c>
    </row>
    <row r="73" spans="1:34" x14ac:dyDescent="0.2">
      <c r="A73">
        <v>195</v>
      </c>
      <c r="B73" t="s">
        <v>29</v>
      </c>
      <c r="C73" t="s">
        <v>3</v>
      </c>
      <c r="D73">
        <v>2.8</v>
      </c>
      <c r="E73" t="s">
        <v>33</v>
      </c>
      <c r="G73" t="s">
        <v>22</v>
      </c>
    </row>
    <row r="74" spans="1:34" x14ac:dyDescent="0.2">
      <c r="A74">
        <v>199</v>
      </c>
      <c r="B74" t="s">
        <v>29</v>
      </c>
      <c r="C74" t="s">
        <v>2</v>
      </c>
      <c r="D74">
        <v>3.33</v>
      </c>
      <c r="E74" t="s">
        <v>33</v>
      </c>
      <c r="G74" t="s">
        <v>190</v>
      </c>
      <c r="P74" t="s">
        <v>158</v>
      </c>
      <c r="Q74" t="s">
        <v>82</v>
      </c>
      <c r="R74" t="s">
        <v>194</v>
      </c>
      <c r="S74" t="s">
        <v>195</v>
      </c>
      <c r="T74" t="s">
        <v>196</v>
      </c>
      <c r="U74" t="s">
        <v>197</v>
      </c>
    </row>
    <row r="75" spans="1:34" x14ac:dyDescent="0.2">
      <c r="A75">
        <v>201</v>
      </c>
      <c r="B75" t="s">
        <v>29</v>
      </c>
      <c r="C75" t="s">
        <v>3</v>
      </c>
      <c r="D75">
        <v>3.16</v>
      </c>
      <c r="E75" t="s">
        <v>27</v>
      </c>
      <c r="P75" t="s">
        <v>2</v>
      </c>
      <c r="Q75">
        <v>24</v>
      </c>
      <c r="R75">
        <v>641.5</v>
      </c>
      <c r="S75">
        <v>636</v>
      </c>
      <c r="T75">
        <v>26.729199999999999</v>
      </c>
      <c r="U75">
        <v>9.1999999999999998E-2</v>
      </c>
      <c r="AA75" t="s">
        <v>175</v>
      </c>
    </row>
    <row r="76" spans="1:34" x14ac:dyDescent="0.2">
      <c r="A76">
        <v>202</v>
      </c>
      <c r="B76" t="s">
        <v>35</v>
      </c>
      <c r="C76" t="s">
        <v>2</v>
      </c>
      <c r="D76">
        <v>3.8</v>
      </c>
      <c r="E76" t="s">
        <v>27</v>
      </c>
      <c r="G76" t="s">
        <v>90</v>
      </c>
      <c r="P76" t="s">
        <v>3</v>
      </c>
      <c r="Q76">
        <v>28</v>
      </c>
      <c r="R76">
        <v>736.5</v>
      </c>
      <c r="S76">
        <v>742</v>
      </c>
      <c r="T76">
        <v>26.303599999999999</v>
      </c>
      <c r="U76">
        <v>-9.1999999999999998E-2</v>
      </c>
    </row>
    <row r="77" spans="1:34" x14ac:dyDescent="0.2">
      <c r="A77">
        <v>205</v>
      </c>
      <c r="B77" t="s">
        <v>25</v>
      </c>
      <c r="C77" t="s">
        <v>2</v>
      </c>
      <c r="D77">
        <v>3.98</v>
      </c>
      <c r="E77" t="s">
        <v>33</v>
      </c>
      <c r="G77" t="s">
        <v>69</v>
      </c>
      <c r="H77">
        <v>2.8690384999999998</v>
      </c>
      <c r="AA77" t="s">
        <v>158</v>
      </c>
      <c r="AB77" t="s">
        <v>176</v>
      </c>
      <c r="AC77" t="s">
        <v>111</v>
      </c>
      <c r="AD77" t="s">
        <v>113</v>
      </c>
      <c r="AE77" t="s">
        <v>177</v>
      </c>
      <c r="AF77" t="s">
        <v>178</v>
      </c>
      <c r="AG77" t="s">
        <v>179</v>
      </c>
      <c r="AH77" t="s">
        <v>180</v>
      </c>
    </row>
    <row r="78" spans="1:34" x14ac:dyDescent="0.2">
      <c r="A78">
        <v>208</v>
      </c>
      <c r="B78" t="s">
        <v>29</v>
      </c>
      <c r="C78" t="s">
        <v>3</v>
      </c>
      <c r="D78">
        <v>3.37</v>
      </c>
      <c r="E78" t="s">
        <v>33</v>
      </c>
      <c r="G78" t="s">
        <v>92</v>
      </c>
      <c r="H78">
        <v>0.64603100000000002</v>
      </c>
      <c r="AA78" t="s">
        <v>29</v>
      </c>
      <c r="AB78" t="s">
        <v>25</v>
      </c>
      <c r="AC78">
        <v>0.44837329999999997</v>
      </c>
      <c r="AD78">
        <v>0.1019533</v>
      </c>
      <c r="AE78">
        <v>0.20727000000000001</v>
      </c>
      <c r="AF78">
        <v>0.6894768</v>
      </c>
      <c r="AG78" t="s">
        <v>123</v>
      </c>
      <c r="AH78" t="s">
        <v>233</v>
      </c>
    </row>
    <row r="79" spans="1:34" x14ac:dyDescent="0.2">
      <c r="A79">
        <v>209</v>
      </c>
      <c r="B79" t="s">
        <v>25</v>
      </c>
      <c r="C79" t="s">
        <v>3</v>
      </c>
      <c r="D79">
        <v>3.59</v>
      </c>
      <c r="E79" t="s">
        <v>33</v>
      </c>
      <c r="G79" t="s">
        <v>93</v>
      </c>
      <c r="H79">
        <v>0.12669710000000001</v>
      </c>
      <c r="AA79" t="s">
        <v>35</v>
      </c>
      <c r="AB79" t="s">
        <v>25</v>
      </c>
      <c r="AC79">
        <v>0.38938780000000001</v>
      </c>
      <c r="AD79">
        <v>0.1086535</v>
      </c>
      <c r="AE79">
        <v>0.132439</v>
      </c>
      <c r="AF79">
        <v>0.64633629999999997</v>
      </c>
      <c r="AG79">
        <v>1.2999999999999999E-3</v>
      </c>
      <c r="AH79" t="s">
        <v>227</v>
      </c>
    </row>
    <row r="80" spans="1:34" x14ac:dyDescent="0.2">
      <c r="A80">
        <v>211</v>
      </c>
      <c r="B80" t="s">
        <v>29</v>
      </c>
      <c r="C80" t="s">
        <v>3</v>
      </c>
      <c r="D80">
        <v>3.01</v>
      </c>
      <c r="E80" t="s">
        <v>27</v>
      </c>
      <c r="G80" t="s">
        <v>94</v>
      </c>
      <c r="H80">
        <v>3.1299760000000001</v>
      </c>
      <c r="AA80" t="s">
        <v>29</v>
      </c>
      <c r="AB80" t="s">
        <v>35</v>
      </c>
      <c r="AC80">
        <v>5.8985500000000003E-2</v>
      </c>
      <c r="AD80">
        <v>0.1002188</v>
      </c>
      <c r="AE80">
        <v>-0.17801600000000001</v>
      </c>
      <c r="AF80">
        <v>0.29598730000000001</v>
      </c>
      <c r="AG80">
        <v>0.82640000000000002</v>
      </c>
      <c r="AH80" t="s">
        <v>234</v>
      </c>
    </row>
    <row r="81" spans="1:18" x14ac:dyDescent="0.2">
      <c r="A81">
        <v>212</v>
      </c>
      <c r="B81" t="s">
        <v>25</v>
      </c>
      <c r="C81" t="s">
        <v>2</v>
      </c>
      <c r="D81">
        <v>2.84</v>
      </c>
      <c r="E81" t="s">
        <v>27</v>
      </c>
      <c r="G81" t="s">
        <v>95</v>
      </c>
      <c r="H81">
        <v>2.6081009000000002</v>
      </c>
      <c r="P81" t="s">
        <v>203</v>
      </c>
    </row>
    <row r="82" spans="1:18" x14ac:dyDescent="0.2">
      <c r="A82">
        <v>213</v>
      </c>
      <c r="B82" t="s">
        <v>29</v>
      </c>
      <c r="C82" t="s">
        <v>3</v>
      </c>
      <c r="D82">
        <v>3.83</v>
      </c>
      <c r="E82" t="s">
        <v>33</v>
      </c>
      <c r="G82" t="s">
        <v>96</v>
      </c>
      <c r="H82">
        <v>26</v>
      </c>
    </row>
    <row r="83" spans="1:18" x14ac:dyDescent="0.2">
      <c r="A83">
        <v>216</v>
      </c>
      <c r="B83" t="s">
        <v>35</v>
      </c>
      <c r="C83" t="s">
        <v>3</v>
      </c>
      <c r="D83">
        <v>3.16</v>
      </c>
      <c r="E83" t="s">
        <v>27</v>
      </c>
      <c r="P83" t="s">
        <v>204</v>
      </c>
      <c r="Q83" t="s">
        <v>205</v>
      </c>
      <c r="R83" t="s">
        <v>206</v>
      </c>
    </row>
    <row r="84" spans="1:18" x14ac:dyDescent="0.2">
      <c r="A84">
        <v>217</v>
      </c>
      <c r="B84" t="s">
        <v>25</v>
      </c>
      <c r="C84" t="s">
        <v>2</v>
      </c>
      <c r="D84">
        <v>3.54</v>
      </c>
      <c r="E84" t="s">
        <v>33</v>
      </c>
      <c r="G84" t="s">
        <v>97</v>
      </c>
      <c r="P84">
        <v>641.5</v>
      </c>
      <c r="Q84">
        <v>9.1800000000000007E-2</v>
      </c>
      <c r="R84">
        <v>0.92689999999999995</v>
      </c>
    </row>
    <row r="85" spans="1:18" x14ac:dyDescent="0.2">
      <c r="A85">
        <v>218</v>
      </c>
      <c r="B85" t="s">
        <v>29</v>
      </c>
      <c r="C85" t="s">
        <v>3</v>
      </c>
      <c r="D85">
        <v>3.77</v>
      </c>
      <c r="E85" t="s">
        <v>33</v>
      </c>
      <c r="G85" t="s">
        <v>98</v>
      </c>
    </row>
    <row r="86" spans="1:18" x14ac:dyDescent="0.2">
      <c r="A86">
        <v>219</v>
      </c>
      <c r="B86" t="s">
        <v>29</v>
      </c>
      <c r="C86" t="s">
        <v>2</v>
      </c>
      <c r="D86">
        <v>4.2699999999999996</v>
      </c>
      <c r="E86" t="s">
        <v>33</v>
      </c>
      <c r="G86" t="s">
        <v>99</v>
      </c>
    </row>
    <row r="87" spans="1:18" x14ac:dyDescent="0.2">
      <c r="A87">
        <v>220</v>
      </c>
      <c r="B87" t="s">
        <v>25</v>
      </c>
      <c r="C87" t="s">
        <v>2</v>
      </c>
      <c r="D87">
        <v>3.01</v>
      </c>
      <c r="E87" t="s">
        <v>27</v>
      </c>
      <c r="G87" t="s">
        <v>35</v>
      </c>
      <c r="H87" t="s">
        <v>91</v>
      </c>
      <c r="I87" t="s">
        <v>100</v>
      </c>
    </row>
    <row r="88" spans="1:18" x14ac:dyDescent="0.2">
      <c r="A88">
        <v>224</v>
      </c>
      <c r="B88" t="s">
        <v>25</v>
      </c>
      <c r="C88" t="s">
        <v>2</v>
      </c>
      <c r="D88">
        <v>3.07</v>
      </c>
      <c r="E88" t="s">
        <v>27</v>
      </c>
      <c r="G88">
        <v>0.96274099999999996</v>
      </c>
      <c r="H88" t="s">
        <v>91</v>
      </c>
      <c r="I88">
        <v>0.44829999999999998</v>
      </c>
    </row>
    <row r="89" spans="1:18" x14ac:dyDescent="0.2">
      <c r="A89">
        <v>225</v>
      </c>
      <c r="B89" t="s">
        <v>29</v>
      </c>
      <c r="C89" t="s">
        <v>3</v>
      </c>
      <c r="D89">
        <v>3.92</v>
      </c>
      <c r="E89" t="s">
        <v>33</v>
      </c>
      <c r="P89" t="s">
        <v>198</v>
      </c>
    </row>
    <row r="90" spans="1:18" x14ac:dyDescent="0.2">
      <c r="A90">
        <v>229</v>
      </c>
      <c r="B90" t="s">
        <v>29</v>
      </c>
      <c r="C90" t="s">
        <v>2</v>
      </c>
      <c r="D90">
        <v>3.0999999999999996</v>
      </c>
      <c r="E90" t="s">
        <v>27</v>
      </c>
    </row>
    <row r="91" spans="1:18" x14ac:dyDescent="0.2">
      <c r="A91">
        <v>230</v>
      </c>
      <c r="B91" t="s">
        <v>29</v>
      </c>
      <c r="C91" t="s">
        <v>3</v>
      </c>
      <c r="D91">
        <v>3.78</v>
      </c>
      <c r="E91" t="s">
        <v>33</v>
      </c>
      <c r="G91" t="s">
        <v>104</v>
      </c>
      <c r="P91" t="s">
        <v>199</v>
      </c>
      <c r="Q91" t="s">
        <v>114</v>
      </c>
      <c r="R91" t="s">
        <v>200</v>
      </c>
    </row>
    <row r="92" spans="1:18" x14ac:dyDescent="0.2">
      <c r="A92">
        <v>233</v>
      </c>
      <c r="B92" t="s">
        <v>35</v>
      </c>
      <c r="C92" t="s">
        <v>3</v>
      </c>
      <c r="D92">
        <v>2.56</v>
      </c>
      <c r="E92" t="s">
        <v>27</v>
      </c>
      <c r="G92" t="s">
        <v>22</v>
      </c>
      <c r="P92">
        <v>1.0200000000000001E-2</v>
      </c>
      <c r="Q92">
        <v>1</v>
      </c>
      <c r="R92" s="23">
        <v>0.91959999999999997</v>
      </c>
    </row>
    <row r="93" spans="1:18" x14ac:dyDescent="0.2">
      <c r="A93" s="10">
        <v>234</v>
      </c>
      <c r="B93" s="10" t="s">
        <v>29</v>
      </c>
      <c r="C93" s="10" t="s">
        <v>3</v>
      </c>
      <c r="D93" s="10">
        <v>3.07</v>
      </c>
      <c r="E93" s="10" t="s">
        <v>33</v>
      </c>
      <c r="G93" t="s">
        <v>191</v>
      </c>
    </row>
    <row r="94" spans="1:18" x14ac:dyDescent="0.2">
      <c r="A94">
        <v>235</v>
      </c>
      <c r="B94" t="s">
        <v>35</v>
      </c>
      <c r="C94" t="s">
        <v>3</v>
      </c>
      <c r="D94">
        <v>3</v>
      </c>
      <c r="E94" t="s">
        <v>27</v>
      </c>
    </row>
    <row r="95" spans="1:18" x14ac:dyDescent="0.2">
      <c r="A95">
        <v>236</v>
      </c>
      <c r="B95" t="s">
        <v>35</v>
      </c>
      <c r="C95" t="s">
        <v>3</v>
      </c>
      <c r="D95">
        <v>4.0599999999999996</v>
      </c>
      <c r="E95" t="s">
        <v>27</v>
      </c>
    </row>
    <row r="96" spans="1:18" x14ac:dyDescent="0.2">
      <c r="A96">
        <v>244</v>
      </c>
      <c r="B96" t="s">
        <v>29</v>
      </c>
      <c r="C96" t="s">
        <v>3</v>
      </c>
      <c r="D96">
        <v>4.55</v>
      </c>
      <c r="E96" t="s">
        <v>33</v>
      </c>
      <c r="G96" t="s">
        <v>90</v>
      </c>
    </row>
    <row r="97" spans="1:28" x14ac:dyDescent="0.2">
      <c r="A97">
        <v>245</v>
      </c>
      <c r="B97" t="s">
        <v>25</v>
      </c>
      <c r="C97" t="s">
        <v>3</v>
      </c>
      <c r="D97">
        <v>4.16</v>
      </c>
      <c r="E97" t="s">
        <v>27</v>
      </c>
      <c r="G97" t="s">
        <v>69</v>
      </c>
      <c r="H97">
        <v>3.4412500000000001</v>
      </c>
      <c r="AA97" t="s">
        <v>89</v>
      </c>
    </row>
    <row r="98" spans="1:28" x14ac:dyDescent="0.2">
      <c r="A98">
        <v>248</v>
      </c>
      <c r="B98" t="s">
        <v>29</v>
      </c>
      <c r="C98" t="s">
        <v>3</v>
      </c>
      <c r="D98">
        <v>2.7</v>
      </c>
      <c r="E98" t="s">
        <v>33</v>
      </c>
      <c r="G98" t="s">
        <v>92</v>
      </c>
      <c r="H98">
        <v>0.4027116</v>
      </c>
    </row>
    <row r="99" spans="1:28" x14ac:dyDescent="0.2">
      <c r="A99">
        <v>251</v>
      </c>
      <c r="B99" t="s">
        <v>29</v>
      </c>
      <c r="C99" t="s">
        <v>2</v>
      </c>
      <c r="D99">
        <v>3.1</v>
      </c>
      <c r="E99" t="s">
        <v>33</v>
      </c>
      <c r="G99" t="s">
        <v>93</v>
      </c>
      <c r="H99">
        <v>8.2203200000000004E-2</v>
      </c>
    </row>
    <row r="100" spans="1:28" x14ac:dyDescent="0.2">
      <c r="A100">
        <v>252</v>
      </c>
      <c r="B100" t="s">
        <v>35</v>
      </c>
      <c r="C100" t="s">
        <v>2</v>
      </c>
      <c r="D100">
        <v>3.84</v>
      </c>
      <c r="E100" t="s">
        <v>27</v>
      </c>
      <c r="G100" t="s">
        <v>94</v>
      </c>
      <c r="H100">
        <v>3.6113002000000001</v>
      </c>
      <c r="AA100" t="s">
        <v>22</v>
      </c>
    </row>
    <row r="101" spans="1:28" x14ac:dyDescent="0.2">
      <c r="A101">
        <v>253</v>
      </c>
      <c r="B101" t="s">
        <v>35</v>
      </c>
      <c r="C101" t="s">
        <v>2</v>
      </c>
      <c r="D101">
        <v>3.32</v>
      </c>
      <c r="E101" t="s">
        <v>27</v>
      </c>
      <c r="G101" t="s">
        <v>95</v>
      </c>
      <c r="H101">
        <v>3.2711998000000002</v>
      </c>
    </row>
    <row r="102" spans="1:28" x14ac:dyDescent="0.2">
      <c r="A102">
        <v>261</v>
      </c>
      <c r="B102" t="s">
        <v>25</v>
      </c>
      <c r="C102" t="s">
        <v>2</v>
      </c>
      <c r="D102">
        <v>3.43</v>
      </c>
      <c r="E102" t="s">
        <v>27</v>
      </c>
      <c r="G102" t="s">
        <v>96</v>
      </c>
      <c r="H102">
        <v>24</v>
      </c>
    </row>
    <row r="103" spans="1:28" x14ac:dyDescent="0.2">
      <c r="A103">
        <v>262</v>
      </c>
      <c r="B103" t="s">
        <v>35</v>
      </c>
      <c r="C103" t="s">
        <v>3</v>
      </c>
      <c r="D103">
        <v>3.25</v>
      </c>
      <c r="E103" t="s">
        <v>27</v>
      </c>
      <c r="G103" t="s">
        <v>91</v>
      </c>
      <c r="H103" t="s">
        <v>91</v>
      </c>
    </row>
    <row r="104" spans="1:28" x14ac:dyDescent="0.2">
      <c r="A104">
        <v>265</v>
      </c>
      <c r="B104" t="s">
        <v>25</v>
      </c>
      <c r="C104" t="s">
        <v>3</v>
      </c>
      <c r="D104">
        <v>2.6950000000000003</v>
      </c>
      <c r="E104" t="s">
        <v>33</v>
      </c>
      <c r="G104" t="s">
        <v>97</v>
      </c>
    </row>
    <row r="105" spans="1:28" x14ac:dyDescent="0.2">
      <c r="A105">
        <v>266</v>
      </c>
      <c r="B105" t="s">
        <v>25</v>
      </c>
      <c r="C105" t="s">
        <v>2</v>
      </c>
      <c r="D105">
        <v>2.68</v>
      </c>
      <c r="E105" t="s">
        <v>33</v>
      </c>
      <c r="G105" t="s">
        <v>98</v>
      </c>
    </row>
    <row r="106" spans="1:28" x14ac:dyDescent="0.2">
      <c r="A106">
        <v>267</v>
      </c>
      <c r="B106" t="s">
        <v>25</v>
      </c>
      <c r="C106" t="s">
        <v>3</v>
      </c>
      <c r="D106">
        <v>2.7</v>
      </c>
      <c r="E106" t="s">
        <v>33</v>
      </c>
      <c r="G106" t="s">
        <v>99</v>
      </c>
      <c r="AA106" t="s">
        <v>90</v>
      </c>
    </row>
    <row r="107" spans="1:28" x14ac:dyDescent="0.2">
      <c r="A107">
        <v>268</v>
      </c>
      <c r="B107" t="s">
        <v>29</v>
      </c>
      <c r="C107" t="s">
        <v>2</v>
      </c>
      <c r="D107">
        <v>2.82</v>
      </c>
      <c r="E107" t="s">
        <v>27</v>
      </c>
      <c r="G107" t="s">
        <v>35</v>
      </c>
      <c r="H107" t="s">
        <v>91</v>
      </c>
      <c r="I107" t="s">
        <v>100</v>
      </c>
    </row>
    <row r="108" spans="1:28" x14ac:dyDescent="0.2">
      <c r="A108">
        <v>269</v>
      </c>
      <c r="B108" t="s">
        <v>29</v>
      </c>
      <c r="C108" t="s">
        <v>3</v>
      </c>
      <c r="D108">
        <v>2.65</v>
      </c>
      <c r="E108" t="s">
        <v>33</v>
      </c>
      <c r="G108">
        <v>0.94557199999999997</v>
      </c>
      <c r="H108" t="s">
        <v>91</v>
      </c>
      <c r="I108">
        <v>0.21679999999999999</v>
      </c>
      <c r="AA108" t="s">
        <v>91</v>
      </c>
      <c r="AB108" t="s">
        <v>91</v>
      </c>
    </row>
    <row r="109" spans="1:28" x14ac:dyDescent="0.2">
      <c r="A109">
        <v>271</v>
      </c>
      <c r="B109" t="s">
        <v>35</v>
      </c>
      <c r="C109" t="s">
        <v>3</v>
      </c>
      <c r="D109">
        <v>3.47</v>
      </c>
      <c r="E109" t="s">
        <v>27</v>
      </c>
      <c r="AA109" t="s">
        <v>69</v>
      </c>
      <c r="AB109">
        <v>3.4925000000000002</v>
      </c>
    </row>
    <row r="110" spans="1:28" x14ac:dyDescent="0.2">
      <c r="A110">
        <v>272</v>
      </c>
      <c r="B110" t="s">
        <v>35</v>
      </c>
      <c r="C110" t="s">
        <v>2</v>
      </c>
      <c r="D110">
        <v>3.17</v>
      </c>
      <c r="E110" t="s">
        <v>27</v>
      </c>
      <c r="AA110" t="s">
        <v>92</v>
      </c>
      <c r="AB110">
        <v>0.65960379999999996</v>
      </c>
    </row>
    <row r="111" spans="1:28" x14ac:dyDescent="0.2">
      <c r="A111">
        <v>273</v>
      </c>
      <c r="B111" t="s">
        <v>29</v>
      </c>
      <c r="C111" t="s">
        <v>3</v>
      </c>
      <c r="D111">
        <v>3.99</v>
      </c>
      <c r="E111" t="s">
        <v>33</v>
      </c>
      <c r="G111" t="s">
        <v>105</v>
      </c>
      <c r="AA111" t="s">
        <v>93</v>
      </c>
      <c r="AB111">
        <v>0.12042659999999999</v>
      </c>
    </row>
    <row r="112" spans="1:28" x14ac:dyDescent="0.2">
      <c r="A112">
        <v>281</v>
      </c>
      <c r="B112" t="s">
        <v>25</v>
      </c>
      <c r="C112" t="s">
        <v>2</v>
      </c>
      <c r="D112">
        <v>3.59</v>
      </c>
      <c r="E112" t="s">
        <v>27</v>
      </c>
      <c r="G112" t="s">
        <v>22</v>
      </c>
      <c r="AA112" t="s">
        <v>94</v>
      </c>
      <c r="AB112">
        <v>3.7388001000000002</v>
      </c>
    </row>
    <row r="113" spans="1:28" x14ac:dyDescent="0.2">
      <c r="A113">
        <v>282</v>
      </c>
      <c r="B113" t="s">
        <v>29</v>
      </c>
      <c r="C113" t="s">
        <v>2</v>
      </c>
      <c r="D113">
        <v>2.34</v>
      </c>
      <c r="E113" t="s">
        <v>27</v>
      </c>
      <c r="G113" t="s">
        <v>192</v>
      </c>
      <c r="AA113" t="s">
        <v>95</v>
      </c>
      <c r="AB113">
        <v>3.2461999000000001</v>
      </c>
    </row>
    <row r="114" spans="1:28" x14ac:dyDescent="0.2">
      <c r="A114">
        <v>287</v>
      </c>
      <c r="B114" t="s">
        <v>35</v>
      </c>
      <c r="C114" t="s">
        <v>3</v>
      </c>
      <c r="D114">
        <v>2.56</v>
      </c>
      <c r="E114" t="s">
        <v>27</v>
      </c>
      <c r="AA114" t="s">
        <v>96</v>
      </c>
      <c r="AB114">
        <v>30</v>
      </c>
    </row>
    <row r="115" spans="1:28" x14ac:dyDescent="0.2">
      <c r="A115">
        <v>288</v>
      </c>
      <c r="B115" t="s">
        <v>35</v>
      </c>
      <c r="C115" t="s">
        <v>2</v>
      </c>
      <c r="D115">
        <v>3.12</v>
      </c>
      <c r="E115" t="s">
        <v>27</v>
      </c>
      <c r="G115" t="s">
        <v>90</v>
      </c>
    </row>
    <row r="116" spans="1:28" x14ac:dyDescent="0.2">
      <c r="A116">
        <v>290</v>
      </c>
      <c r="B116" t="s">
        <v>25</v>
      </c>
      <c r="C116" t="s">
        <v>3</v>
      </c>
      <c r="D116">
        <v>2.69</v>
      </c>
      <c r="E116" t="s">
        <v>27</v>
      </c>
      <c r="G116" t="s">
        <v>69</v>
      </c>
      <c r="H116">
        <v>3.3646429000000002</v>
      </c>
    </row>
    <row r="117" spans="1:28" x14ac:dyDescent="0.2">
      <c r="A117">
        <v>291</v>
      </c>
      <c r="B117" t="s">
        <v>25</v>
      </c>
      <c r="C117" t="s">
        <v>3</v>
      </c>
      <c r="D117">
        <v>2.12</v>
      </c>
      <c r="E117" t="s">
        <v>27</v>
      </c>
      <c r="G117" t="s">
        <v>92</v>
      </c>
      <c r="H117">
        <v>0.53452290000000002</v>
      </c>
    </row>
    <row r="118" spans="1:28" x14ac:dyDescent="0.2">
      <c r="A118">
        <v>293</v>
      </c>
      <c r="B118" t="s">
        <v>25</v>
      </c>
      <c r="C118" t="s">
        <v>3</v>
      </c>
      <c r="D118">
        <v>3.95</v>
      </c>
      <c r="E118" t="s">
        <v>27</v>
      </c>
      <c r="G118" t="s">
        <v>93</v>
      </c>
      <c r="H118">
        <v>0.1010153</v>
      </c>
    </row>
    <row r="119" spans="1:28" x14ac:dyDescent="0.2">
      <c r="A119">
        <v>294</v>
      </c>
      <c r="B119" t="s">
        <v>29</v>
      </c>
      <c r="C119" t="s">
        <v>3</v>
      </c>
      <c r="D119">
        <v>3.14</v>
      </c>
      <c r="E119" t="s">
        <v>33</v>
      </c>
      <c r="G119" t="s">
        <v>94</v>
      </c>
      <c r="H119">
        <v>3.5719091999999999</v>
      </c>
      <c r="AA119" t="s">
        <v>101</v>
      </c>
    </row>
    <row r="120" spans="1:28" x14ac:dyDescent="0.2">
      <c r="A120">
        <v>296</v>
      </c>
      <c r="B120" t="s">
        <v>35</v>
      </c>
      <c r="C120" t="s">
        <v>3</v>
      </c>
      <c r="D120">
        <v>3.49</v>
      </c>
      <c r="E120" t="s">
        <v>27</v>
      </c>
      <c r="G120" t="s">
        <v>95</v>
      </c>
      <c r="H120">
        <v>3.1573764999999998</v>
      </c>
      <c r="P120" t="s">
        <v>247</v>
      </c>
      <c r="Q120" t="s">
        <v>246</v>
      </c>
      <c r="R120" t="s">
        <v>249</v>
      </c>
      <c r="S120" t="s">
        <v>248</v>
      </c>
      <c r="T120" t="s">
        <v>251</v>
      </c>
      <c r="U120" t="s">
        <v>250</v>
      </c>
    </row>
    <row r="121" spans="1:28" x14ac:dyDescent="0.2">
      <c r="A121">
        <v>300</v>
      </c>
      <c r="B121" t="s">
        <v>29</v>
      </c>
      <c r="C121" t="s">
        <v>3</v>
      </c>
      <c r="D121">
        <v>3.78</v>
      </c>
      <c r="E121" t="s">
        <v>27</v>
      </c>
      <c r="G121" t="s">
        <v>96</v>
      </c>
      <c r="H121">
        <v>28</v>
      </c>
      <c r="O121" t="s">
        <v>69</v>
      </c>
      <c r="P121">
        <v>3.4925000000000002</v>
      </c>
      <c r="Q121">
        <v>3.4332050999999999</v>
      </c>
      <c r="R121">
        <v>3.1706522000000001</v>
      </c>
      <c r="S121">
        <v>2.8690384999999998</v>
      </c>
      <c r="T121">
        <v>3.4412500000000001</v>
      </c>
      <c r="U121">
        <v>3.3646429000000002</v>
      </c>
    </row>
    <row r="122" spans="1:28" x14ac:dyDescent="0.2">
      <c r="A122">
        <v>302</v>
      </c>
      <c r="B122" t="s">
        <v>29</v>
      </c>
      <c r="C122" t="s">
        <v>3</v>
      </c>
      <c r="D122">
        <v>3.5</v>
      </c>
      <c r="E122" t="s">
        <v>33</v>
      </c>
      <c r="O122" t="s">
        <v>83</v>
      </c>
      <c r="P122">
        <v>0.12042659999999999</v>
      </c>
      <c r="Q122">
        <v>7.4500700000000003E-2</v>
      </c>
      <c r="R122">
        <v>0.10679039999999999</v>
      </c>
      <c r="S122">
        <v>0.12669710000000001</v>
      </c>
      <c r="T122">
        <v>8.2203200000000004E-2</v>
      </c>
      <c r="U122">
        <v>0.1010153</v>
      </c>
      <c r="AA122" t="s">
        <v>22</v>
      </c>
    </row>
    <row r="123" spans="1:28" x14ac:dyDescent="0.2">
      <c r="A123">
        <v>304</v>
      </c>
      <c r="B123" t="s">
        <v>29</v>
      </c>
      <c r="C123" t="s">
        <v>3</v>
      </c>
      <c r="D123">
        <v>3.28</v>
      </c>
      <c r="E123" t="s">
        <v>33</v>
      </c>
      <c r="G123" t="s">
        <v>97</v>
      </c>
    </row>
    <row r="124" spans="1:28" x14ac:dyDescent="0.2">
      <c r="A124">
        <v>305</v>
      </c>
      <c r="B124" t="s">
        <v>35</v>
      </c>
      <c r="C124" t="s">
        <v>3</v>
      </c>
      <c r="D124">
        <v>4.01</v>
      </c>
      <c r="E124" t="s">
        <v>27</v>
      </c>
      <c r="G124" t="s">
        <v>98</v>
      </c>
    </row>
    <row r="125" spans="1:28" x14ac:dyDescent="0.2">
      <c r="A125">
        <v>311</v>
      </c>
      <c r="B125" t="s">
        <v>29</v>
      </c>
      <c r="C125" t="s">
        <v>3</v>
      </c>
      <c r="D125">
        <v>3.875</v>
      </c>
      <c r="E125" t="s">
        <v>33</v>
      </c>
      <c r="G125" t="s">
        <v>99</v>
      </c>
    </row>
    <row r="126" spans="1:28" x14ac:dyDescent="0.2">
      <c r="A126">
        <v>314</v>
      </c>
      <c r="B126" t="s">
        <v>25</v>
      </c>
      <c r="C126" t="s">
        <v>3</v>
      </c>
      <c r="D126">
        <v>3.34</v>
      </c>
      <c r="E126" t="s">
        <v>27</v>
      </c>
      <c r="G126" t="s">
        <v>35</v>
      </c>
      <c r="H126" t="s">
        <v>91</v>
      </c>
      <c r="I126" t="s">
        <v>100</v>
      </c>
    </row>
    <row r="127" spans="1:28" x14ac:dyDescent="0.2">
      <c r="A127">
        <v>320</v>
      </c>
      <c r="B127" t="s">
        <v>25</v>
      </c>
      <c r="C127" t="s">
        <v>3</v>
      </c>
      <c r="D127">
        <v>2.77</v>
      </c>
      <c r="E127" t="s">
        <v>33</v>
      </c>
      <c r="G127">
        <v>0.930531</v>
      </c>
      <c r="H127" t="s">
        <v>91</v>
      </c>
      <c r="I127">
        <v>6.3600000000000004E-2</v>
      </c>
    </row>
    <row r="128" spans="1:28" x14ac:dyDescent="0.2">
      <c r="A128">
        <v>321</v>
      </c>
      <c r="B128" t="s">
        <v>29</v>
      </c>
      <c r="C128" t="s">
        <v>2</v>
      </c>
      <c r="D128">
        <v>3.18</v>
      </c>
      <c r="E128" t="s">
        <v>33</v>
      </c>
      <c r="AA128" t="s">
        <v>90</v>
      </c>
    </row>
    <row r="129" spans="1:28" x14ac:dyDescent="0.2">
      <c r="A129">
        <v>322</v>
      </c>
      <c r="B129" t="s">
        <v>29</v>
      </c>
      <c r="C129" t="s">
        <v>3</v>
      </c>
      <c r="D129">
        <v>3.63</v>
      </c>
      <c r="E129" t="s">
        <v>33</v>
      </c>
    </row>
    <row r="130" spans="1:28" x14ac:dyDescent="0.2">
      <c r="A130">
        <v>328</v>
      </c>
      <c r="B130" t="s">
        <v>29</v>
      </c>
      <c r="C130" t="s">
        <v>3</v>
      </c>
      <c r="D130">
        <v>3.86</v>
      </c>
      <c r="E130" t="s">
        <v>33</v>
      </c>
      <c r="AA130" t="s">
        <v>91</v>
      </c>
      <c r="AB130" t="s">
        <v>91</v>
      </c>
    </row>
    <row r="131" spans="1:28" x14ac:dyDescent="0.2">
      <c r="A131">
        <v>329</v>
      </c>
      <c r="B131" t="s">
        <v>35</v>
      </c>
      <c r="C131" t="s">
        <v>2</v>
      </c>
      <c r="D131">
        <v>3.78</v>
      </c>
      <c r="E131" t="s">
        <v>27</v>
      </c>
      <c r="AA131" t="s">
        <v>69</v>
      </c>
      <c r="AB131">
        <v>3.4332050999999999</v>
      </c>
    </row>
    <row r="132" spans="1:28" x14ac:dyDescent="0.2">
      <c r="A132">
        <v>330</v>
      </c>
      <c r="B132" t="s">
        <v>35</v>
      </c>
      <c r="C132" t="s">
        <v>2</v>
      </c>
      <c r="D132">
        <v>3.02</v>
      </c>
      <c r="E132" t="s">
        <v>27</v>
      </c>
      <c r="AA132" t="s">
        <v>92</v>
      </c>
      <c r="AB132">
        <v>0.46525670000000002</v>
      </c>
    </row>
    <row r="133" spans="1:28" x14ac:dyDescent="0.2">
      <c r="A133">
        <v>333</v>
      </c>
      <c r="B133" t="s">
        <v>29</v>
      </c>
      <c r="C133" t="s">
        <v>2</v>
      </c>
      <c r="D133">
        <v>3.32</v>
      </c>
      <c r="E133" t="s">
        <v>33</v>
      </c>
      <c r="AA133" t="s">
        <v>93</v>
      </c>
      <c r="AB133">
        <v>7.4500700000000003E-2</v>
      </c>
    </row>
    <row r="134" spans="1:28" x14ac:dyDescent="0.2">
      <c r="A134">
        <v>338</v>
      </c>
      <c r="B134" t="s">
        <v>29</v>
      </c>
      <c r="C134" t="s">
        <v>3</v>
      </c>
      <c r="D134">
        <v>3.02</v>
      </c>
      <c r="E134" t="s">
        <v>33</v>
      </c>
      <c r="AA134" t="s">
        <v>94</v>
      </c>
      <c r="AB134">
        <v>3.5840239</v>
      </c>
    </row>
    <row r="135" spans="1:28" x14ac:dyDescent="0.2">
      <c r="A135">
        <v>339</v>
      </c>
      <c r="B135" t="s">
        <v>25</v>
      </c>
      <c r="C135" t="s">
        <v>3</v>
      </c>
      <c r="D135">
        <v>2.6</v>
      </c>
      <c r="E135" t="s">
        <v>33</v>
      </c>
      <c r="AA135" t="s">
        <v>95</v>
      </c>
      <c r="AB135">
        <v>3.2823864</v>
      </c>
    </row>
    <row r="136" spans="1:28" x14ac:dyDescent="0.2">
      <c r="A136">
        <v>343</v>
      </c>
      <c r="B136" t="s">
        <v>35</v>
      </c>
      <c r="C136" t="s">
        <v>2</v>
      </c>
      <c r="D136">
        <v>3.12</v>
      </c>
      <c r="E136" t="s">
        <v>27</v>
      </c>
      <c r="AA136" t="s">
        <v>96</v>
      </c>
      <c r="AB136">
        <v>39</v>
      </c>
    </row>
    <row r="137" spans="1:28" x14ac:dyDescent="0.2">
      <c r="A137">
        <v>347</v>
      </c>
      <c r="B137" t="s">
        <v>35</v>
      </c>
      <c r="C137" t="s">
        <v>3</v>
      </c>
      <c r="D137">
        <v>3.37</v>
      </c>
      <c r="E137" t="s">
        <v>27</v>
      </c>
    </row>
    <row r="138" spans="1:28" x14ac:dyDescent="0.2">
      <c r="A138">
        <v>349</v>
      </c>
      <c r="B138" t="s">
        <v>29</v>
      </c>
      <c r="C138" t="s">
        <v>3</v>
      </c>
      <c r="D138">
        <v>3.8499999999999996</v>
      </c>
      <c r="E138" t="s">
        <v>33</v>
      </c>
    </row>
    <row r="139" spans="1:28" x14ac:dyDescent="0.2">
      <c r="A139">
        <v>356</v>
      </c>
      <c r="B139" t="s">
        <v>35</v>
      </c>
      <c r="C139" t="s">
        <v>3</v>
      </c>
      <c r="D139">
        <v>2.98</v>
      </c>
      <c r="E139" t="s">
        <v>27</v>
      </c>
    </row>
    <row r="140" spans="1:28" x14ac:dyDescent="0.2">
      <c r="A140">
        <v>357</v>
      </c>
      <c r="B140" t="s">
        <v>35</v>
      </c>
      <c r="C140" t="s">
        <v>3</v>
      </c>
      <c r="D140">
        <v>2.25</v>
      </c>
      <c r="E140" t="s">
        <v>27</v>
      </c>
    </row>
    <row r="141" spans="1:28" x14ac:dyDescent="0.2">
      <c r="A141">
        <v>358</v>
      </c>
      <c r="B141" t="s">
        <v>25</v>
      </c>
      <c r="C141" t="s">
        <v>3</v>
      </c>
      <c r="D141">
        <v>2.0099999999999998</v>
      </c>
      <c r="E141" t="s">
        <v>33</v>
      </c>
      <c r="AA141" t="s">
        <v>102</v>
      </c>
    </row>
    <row r="142" spans="1:28" x14ac:dyDescent="0.2">
      <c r="A142">
        <v>366</v>
      </c>
      <c r="B142" t="s">
        <v>35</v>
      </c>
      <c r="C142" t="s">
        <v>3</v>
      </c>
      <c r="D142">
        <v>3.38</v>
      </c>
      <c r="E142" t="s">
        <v>27</v>
      </c>
      <c r="G142" t="s">
        <v>91</v>
      </c>
      <c r="H142" t="s">
        <v>91</v>
      </c>
    </row>
    <row r="143" spans="1:28" x14ac:dyDescent="0.2">
      <c r="A143">
        <v>372</v>
      </c>
      <c r="B143" t="s">
        <v>35</v>
      </c>
      <c r="C143" t="s">
        <v>3</v>
      </c>
      <c r="D143">
        <v>2.79</v>
      </c>
      <c r="E143" t="s">
        <v>27</v>
      </c>
    </row>
    <row r="144" spans="1:28" x14ac:dyDescent="0.2">
      <c r="A144">
        <v>374</v>
      </c>
      <c r="B144" t="s">
        <v>25</v>
      </c>
      <c r="C144" t="s">
        <v>3</v>
      </c>
      <c r="D144">
        <v>2.8</v>
      </c>
      <c r="E144" t="s">
        <v>33</v>
      </c>
      <c r="AA144" t="s">
        <v>22</v>
      </c>
    </row>
    <row r="145" spans="1:28" x14ac:dyDescent="0.2">
      <c r="A145">
        <v>377</v>
      </c>
      <c r="B145" t="s">
        <v>25</v>
      </c>
      <c r="C145" t="s">
        <v>3</v>
      </c>
      <c r="D145">
        <v>2.04</v>
      </c>
      <c r="E145" t="s">
        <v>33</v>
      </c>
    </row>
    <row r="146" spans="1:28" x14ac:dyDescent="0.2">
      <c r="A146">
        <v>378</v>
      </c>
      <c r="B146" t="s">
        <v>35</v>
      </c>
      <c r="C146" t="s">
        <v>3</v>
      </c>
      <c r="D146">
        <v>3.76</v>
      </c>
      <c r="E146" t="s">
        <v>27</v>
      </c>
    </row>
    <row r="147" spans="1:28" x14ac:dyDescent="0.2">
      <c r="A147">
        <v>379</v>
      </c>
      <c r="B147" t="s">
        <v>25</v>
      </c>
      <c r="C147" t="s">
        <v>3</v>
      </c>
      <c r="D147">
        <v>3.05</v>
      </c>
      <c r="E147" t="s">
        <v>27</v>
      </c>
    </row>
    <row r="148" spans="1:28" x14ac:dyDescent="0.2">
      <c r="A148">
        <v>380</v>
      </c>
      <c r="B148" t="s">
        <v>29</v>
      </c>
      <c r="C148" t="s">
        <v>3</v>
      </c>
      <c r="D148">
        <v>2.88</v>
      </c>
      <c r="E148" t="s">
        <v>33</v>
      </c>
    </row>
    <row r="149" spans="1:28" x14ac:dyDescent="0.2">
      <c r="A149">
        <v>381</v>
      </c>
      <c r="B149" t="s">
        <v>29</v>
      </c>
      <c r="C149" t="s">
        <v>3</v>
      </c>
      <c r="D149">
        <v>3.82</v>
      </c>
      <c r="E149" t="s">
        <v>33</v>
      </c>
    </row>
    <row r="150" spans="1:28" x14ac:dyDescent="0.2">
      <c r="A150">
        <v>384</v>
      </c>
      <c r="B150" t="s">
        <v>35</v>
      </c>
      <c r="C150" t="s">
        <v>2</v>
      </c>
      <c r="D150">
        <v>3.77</v>
      </c>
      <c r="E150" t="s">
        <v>27</v>
      </c>
      <c r="AA150" t="s">
        <v>90</v>
      </c>
    </row>
    <row r="151" spans="1:28" x14ac:dyDescent="0.2">
      <c r="A151">
        <v>387</v>
      </c>
      <c r="B151" t="s">
        <v>35</v>
      </c>
      <c r="C151" t="s">
        <v>2</v>
      </c>
      <c r="D151">
        <v>3.8</v>
      </c>
      <c r="E151" t="s">
        <v>27</v>
      </c>
    </row>
    <row r="152" spans="1:28" x14ac:dyDescent="0.2">
      <c r="A152">
        <v>388</v>
      </c>
      <c r="B152" t="s">
        <v>29</v>
      </c>
      <c r="C152" t="s">
        <v>2</v>
      </c>
      <c r="D152">
        <v>4.0199999999999996</v>
      </c>
      <c r="E152" t="s">
        <v>33</v>
      </c>
      <c r="AA152" t="s">
        <v>91</v>
      </c>
      <c r="AB152" t="s">
        <v>91</v>
      </c>
    </row>
    <row r="153" spans="1:28" x14ac:dyDescent="0.2">
      <c r="A153">
        <v>391</v>
      </c>
      <c r="B153" t="s">
        <v>29</v>
      </c>
      <c r="C153" t="s">
        <v>2</v>
      </c>
      <c r="D153">
        <v>4.3600000000000003</v>
      </c>
      <c r="E153" t="s">
        <v>33</v>
      </c>
      <c r="AA153" t="s">
        <v>69</v>
      </c>
      <c r="AB153">
        <v>3.1706522000000001</v>
      </c>
    </row>
    <row r="154" spans="1:28" x14ac:dyDescent="0.2">
      <c r="A154">
        <v>392</v>
      </c>
      <c r="B154" t="s">
        <v>35</v>
      </c>
      <c r="C154" t="s">
        <v>2</v>
      </c>
      <c r="D154">
        <v>3.43</v>
      </c>
      <c r="E154" t="s">
        <v>27</v>
      </c>
      <c r="AA154" t="s">
        <v>92</v>
      </c>
      <c r="AB154">
        <v>0.51214859999999995</v>
      </c>
    </row>
    <row r="155" spans="1:28" x14ac:dyDescent="0.2">
      <c r="A155">
        <v>394</v>
      </c>
      <c r="B155" t="s">
        <v>29</v>
      </c>
      <c r="C155" t="s">
        <v>3</v>
      </c>
      <c r="D155">
        <v>2.89</v>
      </c>
      <c r="E155" t="s">
        <v>33</v>
      </c>
      <c r="AA155" t="s">
        <v>93</v>
      </c>
      <c r="AB155">
        <v>0.10679039999999999</v>
      </c>
    </row>
    <row r="156" spans="1:28" x14ac:dyDescent="0.2">
      <c r="A156">
        <v>401</v>
      </c>
      <c r="B156" t="s">
        <v>25</v>
      </c>
      <c r="C156" t="s">
        <v>2</v>
      </c>
      <c r="D156">
        <v>3.04</v>
      </c>
      <c r="E156" t="s">
        <v>33</v>
      </c>
      <c r="AA156" t="s">
        <v>94</v>
      </c>
      <c r="AB156">
        <v>3.3921218</v>
      </c>
    </row>
    <row r="157" spans="1:28" x14ac:dyDescent="0.2">
      <c r="A157">
        <v>403</v>
      </c>
      <c r="B157" t="s">
        <v>25</v>
      </c>
      <c r="C157" t="s">
        <v>3</v>
      </c>
      <c r="D157">
        <v>2.33</v>
      </c>
      <c r="E157" t="s">
        <v>27</v>
      </c>
      <c r="AA157" t="s">
        <v>95</v>
      </c>
      <c r="AB157">
        <v>2.9491825</v>
      </c>
    </row>
    <row r="158" spans="1:28" x14ac:dyDescent="0.2">
      <c r="A158">
        <v>405</v>
      </c>
      <c r="B158" t="s">
        <v>35</v>
      </c>
      <c r="C158" t="s">
        <v>2</v>
      </c>
      <c r="D158">
        <v>3.78</v>
      </c>
      <c r="E158" t="s">
        <v>27</v>
      </c>
      <c r="AA158" t="s">
        <v>96</v>
      </c>
      <c r="AB158">
        <v>23</v>
      </c>
    </row>
    <row r="159" spans="1:28" x14ac:dyDescent="0.2">
      <c r="A159">
        <v>409</v>
      </c>
      <c r="B159" t="s">
        <v>29</v>
      </c>
      <c r="C159" t="s">
        <v>3</v>
      </c>
      <c r="D159">
        <v>3.35</v>
      </c>
      <c r="E159" t="s">
        <v>33</v>
      </c>
    </row>
    <row r="160" spans="1:28" x14ac:dyDescent="0.2">
      <c r="A160">
        <v>413</v>
      </c>
      <c r="B160" t="s">
        <v>25</v>
      </c>
      <c r="C160" t="s">
        <v>2</v>
      </c>
      <c r="D160">
        <v>3.1100000000000003</v>
      </c>
      <c r="E160" t="s">
        <v>33</v>
      </c>
    </row>
    <row r="161" spans="1:28" x14ac:dyDescent="0.2">
      <c r="A161">
        <v>417</v>
      </c>
      <c r="B161" t="s">
        <v>35</v>
      </c>
      <c r="C161" t="s">
        <v>3</v>
      </c>
      <c r="D161">
        <v>3.73</v>
      </c>
      <c r="E161" t="s">
        <v>27</v>
      </c>
    </row>
    <row r="162" spans="1:28" x14ac:dyDescent="0.2">
      <c r="A162">
        <v>418</v>
      </c>
      <c r="B162" t="s">
        <v>35</v>
      </c>
      <c r="C162" t="s">
        <v>3</v>
      </c>
      <c r="D162">
        <v>4.0199999999999996</v>
      </c>
      <c r="E162" t="s">
        <v>27</v>
      </c>
    </row>
    <row r="163" spans="1:28" x14ac:dyDescent="0.2">
      <c r="A163">
        <v>421</v>
      </c>
      <c r="B163" t="s">
        <v>25</v>
      </c>
      <c r="C163" t="s">
        <v>3</v>
      </c>
      <c r="D163">
        <v>2.63</v>
      </c>
      <c r="E163" t="s">
        <v>33</v>
      </c>
      <c r="AA163" t="s">
        <v>103</v>
      </c>
    </row>
    <row r="164" spans="1:28" x14ac:dyDescent="0.2">
      <c r="A164">
        <v>423</v>
      </c>
      <c r="B164" t="s">
        <v>29</v>
      </c>
      <c r="C164" t="s">
        <v>2</v>
      </c>
      <c r="D164">
        <v>2.97</v>
      </c>
      <c r="E164" t="s">
        <v>27</v>
      </c>
    </row>
    <row r="165" spans="1:28" x14ac:dyDescent="0.2">
      <c r="A165">
        <v>425</v>
      </c>
      <c r="B165" t="s">
        <v>35</v>
      </c>
      <c r="C165" t="s">
        <v>2</v>
      </c>
      <c r="D165">
        <v>3</v>
      </c>
      <c r="E165" t="s">
        <v>27</v>
      </c>
    </row>
    <row r="166" spans="1:28" x14ac:dyDescent="0.2">
      <c r="A166">
        <v>429</v>
      </c>
      <c r="B166" t="s">
        <v>29</v>
      </c>
      <c r="C166" t="s">
        <v>3</v>
      </c>
      <c r="D166">
        <v>4.01</v>
      </c>
      <c r="E166" t="s">
        <v>33</v>
      </c>
      <c r="AA166" t="s">
        <v>22</v>
      </c>
    </row>
    <row r="167" spans="1:28" x14ac:dyDescent="0.2">
      <c r="A167">
        <v>436</v>
      </c>
      <c r="B167" t="s">
        <v>35</v>
      </c>
      <c r="C167" t="s">
        <v>3</v>
      </c>
      <c r="D167">
        <v>3.81</v>
      </c>
      <c r="E167" t="s">
        <v>27</v>
      </c>
    </row>
    <row r="168" spans="1:28" x14ac:dyDescent="0.2">
      <c r="A168">
        <v>441</v>
      </c>
      <c r="B168" t="s">
        <v>29</v>
      </c>
      <c r="C168" t="s">
        <v>2</v>
      </c>
      <c r="D168">
        <v>4.13</v>
      </c>
      <c r="E168" t="s">
        <v>33</v>
      </c>
    </row>
    <row r="169" spans="1:28" x14ac:dyDescent="0.2">
      <c r="A169">
        <v>442</v>
      </c>
      <c r="B169" t="s">
        <v>35</v>
      </c>
      <c r="C169" t="s">
        <v>2</v>
      </c>
      <c r="D169">
        <v>3.3</v>
      </c>
      <c r="E169" t="s">
        <v>27</v>
      </c>
    </row>
    <row r="170" spans="1:28" x14ac:dyDescent="0.2">
      <c r="A170">
        <v>450</v>
      </c>
      <c r="B170" t="s">
        <v>29</v>
      </c>
      <c r="C170" t="s">
        <v>2</v>
      </c>
      <c r="D170">
        <v>3.04</v>
      </c>
      <c r="E170" t="s">
        <v>33</v>
      </c>
    </row>
    <row r="171" spans="1:28" x14ac:dyDescent="0.2">
      <c r="A171">
        <v>456</v>
      </c>
      <c r="B171" t="s">
        <v>25</v>
      </c>
      <c r="C171" t="s">
        <v>3</v>
      </c>
      <c r="D171">
        <v>1.72</v>
      </c>
      <c r="E171" t="s">
        <v>33</v>
      </c>
    </row>
    <row r="172" spans="1:28" x14ac:dyDescent="0.2">
      <c r="A172">
        <v>458</v>
      </c>
      <c r="B172" t="s">
        <v>25</v>
      </c>
      <c r="C172" t="s">
        <v>2</v>
      </c>
      <c r="D172">
        <v>3.09</v>
      </c>
      <c r="E172" t="s">
        <v>33</v>
      </c>
      <c r="AA172" t="s">
        <v>90</v>
      </c>
    </row>
    <row r="173" spans="1:28" x14ac:dyDescent="0.2">
      <c r="A173">
        <v>459</v>
      </c>
      <c r="B173" t="s">
        <v>25</v>
      </c>
      <c r="C173" t="s">
        <v>2</v>
      </c>
      <c r="D173">
        <v>2.64</v>
      </c>
      <c r="E173" t="s">
        <v>33</v>
      </c>
    </row>
    <row r="174" spans="1:28" x14ac:dyDescent="0.2">
      <c r="A174">
        <v>466</v>
      </c>
      <c r="B174" t="s">
        <v>29</v>
      </c>
      <c r="C174" t="s">
        <v>2</v>
      </c>
      <c r="D174">
        <v>3.34</v>
      </c>
      <c r="E174" t="s">
        <v>33</v>
      </c>
      <c r="AA174" t="s">
        <v>91</v>
      </c>
      <c r="AB174" t="s">
        <v>91</v>
      </c>
    </row>
    <row r="175" spans="1:28" x14ac:dyDescent="0.2">
      <c r="AA175" t="s">
        <v>69</v>
      </c>
      <c r="AB175">
        <v>2.8690384999999998</v>
      </c>
    </row>
    <row r="176" spans="1:28" x14ac:dyDescent="0.2">
      <c r="AA176" t="s">
        <v>92</v>
      </c>
      <c r="AB176">
        <v>0.64603100000000002</v>
      </c>
    </row>
    <row r="177" spans="1:28" x14ac:dyDescent="0.2">
      <c r="AA177" t="s">
        <v>93</v>
      </c>
      <c r="AB177">
        <v>0.12669710000000001</v>
      </c>
    </row>
    <row r="178" spans="1:28" x14ac:dyDescent="0.2">
      <c r="AA178" t="s">
        <v>94</v>
      </c>
      <c r="AB178">
        <v>3.1299760000000001</v>
      </c>
    </row>
    <row r="179" spans="1:28" x14ac:dyDescent="0.2">
      <c r="AA179" t="s">
        <v>95</v>
      </c>
      <c r="AB179">
        <v>2.6081009000000002</v>
      </c>
    </row>
    <row r="180" spans="1:28" x14ac:dyDescent="0.2">
      <c r="AA180" t="s">
        <v>96</v>
      </c>
      <c r="AB180">
        <v>26</v>
      </c>
    </row>
    <row r="184" spans="1:28" x14ac:dyDescent="0.2">
      <c r="A184" s="9"/>
    </row>
    <row r="185" spans="1:28" x14ac:dyDescent="0.2">
      <c r="AA185" t="s">
        <v>104</v>
      </c>
    </row>
    <row r="188" spans="1:28" x14ac:dyDescent="0.2">
      <c r="AA188" t="s">
        <v>22</v>
      </c>
    </row>
    <row r="194" spans="27:28" x14ac:dyDescent="0.2">
      <c r="AA194" t="s">
        <v>90</v>
      </c>
    </row>
    <row r="196" spans="27:28" x14ac:dyDescent="0.2">
      <c r="AA196" t="s">
        <v>91</v>
      </c>
      <c r="AB196" t="s">
        <v>91</v>
      </c>
    </row>
    <row r="197" spans="27:28" x14ac:dyDescent="0.2">
      <c r="AA197" t="s">
        <v>69</v>
      </c>
      <c r="AB197">
        <v>3.4412500000000001</v>
      </c>
    </row>
    <row r="198" spans="27:28" x14ac:dyDescent="0.2">
      <c r="AA198" t="s">
        <v>92</v>
      </c>
      <c r="AB198">
        <v>0.4027116</v>
      </c>
    </row>
    <row r="199" spans="27:28" x14ac:dyDescent="0.2">
      <c r="AA199" t="s">
        <v>93</v>
      </c>
      <c r="AB199">
        <v>8.2203200000000004E-2</v>
      </c>
    </row>
    <row r="200" spans="27:28" x14ac:dyDescent="0.2">
      <c r="AA200" t="s">
        <v>94</v>
      </c>
      <c r="AB200">
        <v>3.6113002000000001</v>
      </c>
    </row>
    <row r="201" spans="27:28" x14ac:dyDescent="0.2">
      <c r="AA201" t="s">
        <v>95</v>
      </c>
      <c r="AB201">
        <v>3.2711998000000002</v>
      </c>
    </row>
    <row r="202" spans="27:28" x14ac:dyDescent="0.2">
      <c r="AA202" t="s">
        <v>96</v>
      </c>
      <c r="AB202">
        <v>24</v>
      </c>
    </row>
    <row r="207" spans="27:28" x14ac:dyDescent="0.2">
      <c r="AA207" t="s">
        <v>105</v>
      </c>
    </row>
    <row r="210" spans="27:28" x14ac:dyDescent="0.2">
      <c r="AA210" t="s">
        <v>22</v>
      </c>
    </row>
    <row r="216" spans="27:28" x14ac:dyDescent="0.2">
      <c r="AA216" t="s">
        <v>90</v>
      </c>
    </row>
    <row r="218" spans="27:28" x14ac:dyDescent="0.2">
      <c r="AA218" t="s">
        <v>91</v>
      </c>
      <c r="AB218" t="s">
        <v>91</v>
      </c>
    </row>
    <row r="219" spans="27:28" x14ac:dyDescent="0.2">
      <c r="AA219" t="s">
        <v>69</v>
      </c>
      <c r="AB219">
        <v>3.3646429000000002</v>
      </c>
    </row>
    <row r="220" spans="27:28" x14ac:dyDescent="0.2">
      <c r="AA220" t="s">
        <v>92</v>
      </c>
      <c r="AB220">
        <v>0.53452290000000002</v>
      </c>
    </row>
    <row r="221" spans="27:28" x14ac:dyDescent="0.2">
      <c r="AA221" t="s">
        <v>93</v>
      </c>
      <c r="AB221">
        <v>0.1010153</v>
      </c>
    </row>
    <row r="222" spans="27:28" x14ac:dyDescent="0.2">
      <c r="AA222" t="s">
        <v>94</v>
      </c>
      <c r="AB222">
        <v>3.5719091999999999</v>
      </c>
    </row>
    <row r="223" spans="27:28" x14ac:dyDescent="0.2">
      <c r="AA223" t="s">
        <v>95</v>
      </c>
      <c r="AB223">
        <v>3.1573764999999998</v>
      </c>
    </row>
    <row r="224" spans="27:28" x14ac:dyDescent="0.2">
      <c r="AA224" t="s">
        <v>96</v>
      </c>
      <c r="AB224">
        <v>28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228"/>
  <sheetViews>
    <sheetView topLeftCell="A2" workbookViewId="0">
      <selection activeCell="BY28" sqref="BY28"/>
    </sheetView>
  </sheetViews>
  <sheetFormatPr baseColWidth="10" defaultColWidth="8.83203125" defaultRowHeight="15" x14ac:dyDescent="0.2"/>
  <cols>
    <col min="2" max="2" width="10.83203125" customWidth="1"/>
    <col min="3" max="4" width="9.1640625" customWidth="1"/>
  </cols>
  <sheetData>
    <row r="1" spans="1:51" ht="204.75" customHeight="1" x14ac:dyDescent="0.2"/>
    <row r="2" spans="1:51" x14ac:dyDescent="0.2">
      <c r="A2" t="s">
        <v>86</v>
      </c>
      <c r="G2" t="s">
        <v>87</v>
      </c>
    </row>
    <row r="3" spans="1:51" ht="48" x14ac:dyDescent="0.2">
      <c r="A3" s="7" t="s">
        <v>6</v>
      </c>
      <c r="B3" s="7" t="s">
        <v>7</v>
      </c>
      <c r="C3" s="7" t="s">
        <v>20</v>
      </c>
      <c r="D3" s="7" t="s">
        <v>21</v>
      </c>
      <c r="E3" s="7" t="s">
        <v>9</v>
      </c>
      <c r="G3" s="7" t="s">
        <v>6</v>
      </c>
      <c r="H3" s="7" t="s">
        <v>7</v>
      </c>
      <c r="I3" s="7" t="s">
        <v>20</v>
      </c>
      <c r="J3" s="7" t="s">
        <v>21</v>
      </c>
      <c r="K3" s="7" t="s">
        <v>9</v>
      </c>
    </row>
    <row r="4" spans="1:51" x14ac:dyDescent="0.2">
      <c r="A4">
        <v>6</v>
      </c>
      <c r="B4" t="s">
        <v>25</v>
      </c>
      <c r="C4">
        <v>1725.0727540487001</v>
      </c>
      <c r="D4" t="s">
        <v>2</v>
      </c>
      <c r="E4" t="s">
        <v>27</v>
      </c>
      <c r="G4">
        <v>6</v>
      </c>
      <c r="H4" t="s">
        <v>25</v>
      </c>
      <c r="I4">
        <v>1725.072754</v>
      </c>
      <c r="J4" t="s">
        <v>2</v>
      </c>
      <c r="K4" t="s">
        <v>27</v>
      </c>
      <c r="T4" t="s">
        <v>224</v>
      </c>
      <c r="AE4" t="s">
        <v>225</v>
      </c>
      <c r="AP4" t="s">
        <v>1</v>
      </c>
      <c r="AQ4" t="s">
        <v>263</v>
      </c>
      <c r="AR4" t="s">
        <v>264</v>
      </c>
      <c r="AY4" t="s">
        <v>4</v>
      </c>
    </row>
    <row r="5" spans="1:51" x14ac:dyDescent="0.2">
      <c r="A5">
        <v>10</v>
      </c>
      <c r="B5" t="s">
        <v>29</v>
      </c>
      <c r="C5">
        <v>1477.151731405896</v>
      </c>
      <c r="D5" t="s">
        <v>2</v>
      </c>
      <c r="E5" t="s">
        <v>27</v>
      </c>
      <c r="G5">
        <v>10</v>
      </c>
      <c r="H5" t="s">
        <v>29</v>
      </c>
      <c r="I5">
        <v>1477.1517309999999</v>
      </c>
      <c r="J5" t="s">
        <v>2</v>
      </c>
      <c r="K5" t="s">
        <v>27</v>
      </c>
    </row>
    <row r="6" spans="1:51" x14ac:dyDescent="0.2">
      <c r="A6">
        <v>15</v>
      </c>
      <c r="B6" t="s">
        <v>29</v>
      </c>
      <c r="C6">
        <v>922.99516315900848</v>
      </c>
      <c r="D6" t="s">
        <v>2</v>
      </c>
      <c r="E6" t="s">
        <v>33</v>
      </c>
      <c r="G6">
        <v>15</v>
      </c>
      <c r="H6" t="s">
        <v>29</v>
      </c>
      <c r="I6">
        <v>922.99516319999998</v>
      </c>
      <c r="J6" t="s">
        <v>2</v>
      </c>
      <c r="K6" t="s">
        <v>33</v>
      </c>
      <c r="M6" t="s">
        <v>89</v>
      </c>
    </row>
    <row r="7" spans="1:51" x14ac:dyDescent="0.2">
      <c r="A7">
        <v>17</v>
      </c>
      <c r="B7" t="s">
        <v>35</v>
      </c>
      <c r="C7">
        <v>616.58133950221736</v>
      </c>
      <c r="D7" t="s">
        <v>2</v>
      </c>
      <c r="E7" t="s">
        <v>27</v>
      </c>
      <c r="G7">
        <v>17</v>
      </c>
      <c r="H7" t="s">
        <v>35</v>
      </c>
      <c r="I7">
        <v>616.58133950000001</v>
      </c>
      <c r="J7" t="s">
        <v>2</v>
      </c>
      <c r="K7" t="s">
        <v>27</v>
      </c>
      <c r="M7" t="s">
        <v>20</v>
      </c>
    </row>
    <row r="8" spans="1:51" x14ac:dyDescent="0.2">
      <c r="A8">
        <v>20</v>
      </c>
      <c r="B8" t="s">
        <v>29</v>
      </c>
      <c r="C8">
        <v>2982.9294780949149</v>
      </c>
      <c r="D8" t="s">
        <v>2</v>
      </c>
      <c r="E8" t="s">
        <v>33</v>
      </c>
      <c r="G8">
        <v>20</v>
      </c>
      <c r="H8" t="s">
        <v>29</v>
      </c>
      <c r="I8">
        <v>2982.929478</v>
      </c>
      <c r="J8" t="s">
        <v>2</v>
      </c>
      <c r="K8" t="s">
        <v>33</v>
      </c>
      <c r="M8" t="s">
        <v>181</v>
      </c>
      <c r="T8" t="s">
        <v>220</v>
      </c>
      <c r="AE8" t="s">
        <v>223</v>
      </c>
    </row>
    <row r="9" spans="1:51" x14ac:dyDescent="0.2">
      <c r="A9">
        <v>23</v>
      </c>
      <c r="B9" t="s">
        <v>29</v>
      </c>
      <c r="C9">
        <v>1373.0660240347561</v>
      </c>
      <c r="D9" t="s">
        <v>2</v>
      </c>
      <c r="E9" t="s">
        <v>27</v>
      </c>
      <c r="G9">
        <v>23</v>
      </c>
      <c r="H9" t="s">
        <v>29</v>
      </c>
      <c r="I9">
        <v>1373.066024</v>
      </c>
      <c r="J9" t="s">
        <v>2</v>
      </c>
      <c r="K9" t="s">
        <v>27</v>
      </c>
    </row>
    <row r="10" spans="1:51" x14ac:dyDescent="0.2">
      <c r="A10">
        <v>25</v>
      </c>
      <c r="B10" t="s">
        <v>29</v>
      </c>
      <c r="C10">
        <v>4510.8689016262942</v>
      </c>
      <c r="D10" t="s">
        <v>2</v>
      </c>
      <c r="E10" t="s">
        <v>33</v>
      </c>
      <c r="G10">
        <v>25</v>
      </c>
      <c r="H10" t="s">
        <v>29</v>
      </c>
      <c r="I10">
        <v>4510.8689020000002</v>
      </c>
      <c r="J10" t="s">
        <v>2</v>
      </c>
      <c r="K10" t="s">
        <v>33</v>
      </c>
      <c r="M10" t="s">
        <v>90</v>
      </c>
      <c r="T10" t="s">
        <v>107</v>
      </c>
      <c r="AE10" t="s">
        <v>107</v>
      </c>
    </row>
    <row r="11" spans="1:51" x14ac:dyDescent="0.2">
      <c r="A11">
        <v>31</v>
      </c>
      <c r="B11" t="s">
        <v>29</v>
      </c>
      <c r="C11">
        <v>1919.781239993162</v>
      </c>
      <c r="D11" t="s">
        <v>2</v>
      </c>
      <c r="E11" t="s">
        <v>33</v>
      </c>
      <c r="G11">
        <v>31</v>
      </c>
      <c r="H11" t="s">
        <v>29</v>
      </c>
      <c r="I11">
        <v>1919.78124</v>
      </c>
      <c r="J11" t="s">
        <v>2</v>
      </c>
      <c r="K11" t="s">
        <v>33</v>
      </c>
      <c r="M11" t="s">
        <v>69</v>
      </c>
      <c r="N11">
        <v>2481.6145999999999</v>
      </c>
      <c r="T11">
        <v>3</v>
      </c>
      <c r="AE11">
        <v>11</v>
      </c>
    </row>
    <row r="12" spans="1:51" x14ac:dyDescent="0.2">
      <c r="A12">
        <v>42</v>
      </c>
      <c r="B12" t="s">
        <v>29</v>
      </c>
      <c r="C12">
        <v>55338.964187336656</v>
      </c>
      <c r="D12" t="s">
        <v>3</v>
      </c>
      <c r="E12" t="s">
        <v>33</v>
      </c>
      <c r="G12">
        <v>42</v>
      </c>
      <c r="H12" t="s">
        <v>29</v>
      </c>
      <c r="I12">
        <v>55338.964189999999</v>
      </c>
      <c r="J12" t="s">
        <v>3</v>
      </c>
      <c r="K12" t="s">
        <v>33</v>
      </c>
      <c r="M12" t="s">
        <v>92</v>
      </c>
      <c r="N12">
        <v>1102.9847</v>
      </c>
    </row>
    <row r="13" spans="1:51" x14ac:dyDescent="0.2">
      <c r="A13">
        <v>43</v>
      </c>
      <c r="B13" t="s">
        <v>25</v>
      </c>
      <c r="C13">
        <v>3177.4090215219439</v>
      </c>
      <c r="D13" t="s">
        <v>2</v>
      </c>
      <c r="E13" t="s">
        <v>33</v>
      </c>
      <c r="G13">
        <v>43</v>
      </c>
      <c r="H13" t="s">
        <v>25</v>
      </c>
      <c r="I13">
        <v>3177.4090219999998</v>
      </c>
      <c r="J13" t="s">
        <v>2</v>
      </c>
      <c r="K13" t="s">
        <v>33</v>
      </c>
      <c r="M13" t="s">
        <v>93</v>
      </c>
      <c r="N13">
        <v>198.1019</v>
      </c>
    </row>
    <row r="14" spans="1:51" x14ac:dyDescent="0.2">
      <c r="A14">
        <v>47</v>
      </c>
      <c r="B14" t="s">
        <v>29</v>
      </c>
      <c r="C14">
        <v>3358.4257513428879</v>
      </c>
      <c r="D14" t="s">
        <v>2</v>
      </c>
      <c r="E14" t="s">
        <v>33</v>
      </c>
      <c r="G14">
        <v>47</v>
      </c>
      <c r="H14" t="s">
        <v>29</v>
      </c>
      <c r="I14">
        <v>3358.4257510000002</v>
      </c>
      <c r="J14" t="s">
        <v>2</v>
      </c>
      <c r="K14" t="s">
        <v>33</v>
      </c>
      <c r="M14" t="s">
        <v>94</v>
      </c>
      <c r="N14">
        <v>2886.1925999999999</v>
      </c>
      <c r="T14" t="s">
        <v>193</v>
      </c>
      <c r="AE14" t="s">
        <v>193</v>
      </c>
    </row>
    <row r="15" spans="1:51" x14ac:dyDescent="0.2">
      <c r="A15">
        <v>48</v>
      </c>
      <c r="B15" t="s">
        <v>25</v>
      </c>
      <c r="C15">
        <v>3251.1360477688859</v>
      </c>
      <c r="D15" t="s">
        <v>2</v>
      </c>
      <c r="E15" t="s">
        <v>33</v>
      </c>
      <c r="G15">
        <v>48</v>
      </c>
      <c r="H15" t="s">
        <v>25</v>
      </c>
      <c r="I15">
        <v>3251.1360479999998</v>
      </c>
      <c r="J15" t="s">
        <v>2</v>
      </c>
      <c r="K15" t="s">
        <v>33</v>
      </c>
      <c r="M15" t="s">
        <v>95</v>
      </c>
      <c r="N15">
        <v>2077.0365000000002</v>
      </c>
    </row>
    <row r="16" spans="1:51" x14ac:dyDescent="0.2">
      <c r="A16">
        <v>50</v>
      </c>
      <c r="B16" t="s">
        <v>35</v>
      </c>
      <c r="C16">
        <v>3104.8051272150328</v>
      </c>
      <c r="D16" t="s">
        <v>2</v>
      </c>
      <c r="E16" t="s">
        <v>27</v>
      </c>
      <c r="G16">
        <v>50</v>
      </c>
      <c r="H16" t="s">
        <v>35</v>
      </c>
      <c r="I16">
        <v>3104.8051270000001</v>
      </c>
      <c r="J16" t="s">
        <v>2</v>
      </c>
      <c r="K16" t="s">
        <v>27</v>
      </c>
      <c r="M16" t="s">
        <v>96</v>
      </c>
      <c r="N16">
        <v>31</v>
      </c>
      <c r="T16" t="s">
        <v>158</v>
      </c>
      <c r="U16" t="s">
        <v>82</v>
      </c>
      <c r="V16" t="s">
        <v>194</v>
      </c>
      <c r="W16" t="s">
        <v>195</v>
      </c>
      <c r="X16" t="s">
        <v>196</v>
      </c>
      <c r="Y16" t="s">
        <v>197</v>
      </c>
      <c r="AE16" t="s">
        <v>158</v>
      </c>
      <c r="AF16" t="s">
        <v>82</v>
      </c>
      <c r="AG16" t="s">
        <v>194</v>
      </c>
      <c r="AH16" t="s">
        <v>195</v>
      </c>
      <c r="AI16" t="s">
        <v>196</v>
      </c>
      <c r="AJ16" t="s">
        <v>197</v>
      </c>
    </row>
    <row r="17" spans="1:36" x14ac:dyDescent="0.2">
      <c r="A17">
        <v>53</v>
      </c>
      <c r="B17" t="s">
        <v>29</v>
      </c>
      <c r="C17">
        <v>2581.5306728871287</v>
      </c>
      <c r="D17" t="s">
        <v>2</v>
      </c>
      <c r="E17" t="s">
        <v>27</v>
      </c>
      <c r="G17">
        <v>53</v>
      </c>
      <c r="H17" t="s">
        <v>29</v>
      </c>
      <c r="I17">
        <v>2581.5306730000002</v>
      </c>
      <c r="J17" t="s">
        <v>2</v>
      </c>
      <c r="K17" t="s">
        <v>27</v>
      </c>
      <c r="T17" t="s">
        <v>2</v>
      </c>
      <c r="U17">
        <v>31</v>
      </c>
      <c r="V17">
        <v>496</v>
      </c>
      <c r="W17">
        <v>1054</v>
      </c>
      <c r="X17">
        <v>16</v>
      </c>
      <c r="Y17">
        <v>-7.0110000000000001</v>
      </c>
      <c r="AE17" t="s">
        <v>29</v>
      </c>
      <c r="AF17">
        <v>67</v>
      </c>
      <c r="AG17">
        <v>6332.5</v>
      </c>
      <c r="AH17">
        <v>5393.5</v>
      </c>
      <c r="AI17">
        <v>94.514899999999997</v>
      </c>
      <c r="AJ17">
        <v>3.246</v>
      </c>
    </row>
    <row r="18" spans="1:36" x14ac:dyDescent="0.2">
      <c r="A18">
        <v>54</v>
      </c>
      <c r="B18" t="s">
        <v>29</v>
      </c>
      <c r="C18">
        <v>11943.106411943594</v>
      </c>
      <c r="D18" t="s">
        <v>3</v>
      </c>
      <c r="E18" t="s">
        <v>27</v>
      </c>
      <c r="G18">
        <v>54</v>
      </c>
      <c r="H18" t="s">
        <v>29</v>
      </c>
      <c r="I18">
        <v>11943.10641</v>
      </c>
      <c r="J18" t="s">
        <v>3</v>
      </c>
      <c r="K18" t="s">
        <v>27</v>
      </c>
      <c r="M18" t="s">
        <v>97</v>
      </c>
      <c r="N18" t="s">
        <v>91</v>
      </c>
      <c r="T18" t="s">
        <v>3</v>
      </c>
      <c r="U18">
        <v>36</v>
      </c>
      <c r="V18">
        <v>1782</v>
      </c>
      <c r="W18">
        <v>1224</v>
      </c>
      <c r="X18">
        <v>49.5</v>
      </c>
      <c r="Y18">
        <v>7.0110000000000001</v>
      </c>
      <c r="AE18" t="s">
        <v>25</v>
      </c>
      <c r="AF18">
        <v>46</v>
      </c>
      <c r="AG18">
        <v>3495</v>
      </c>
      <c r="AH18">
        <v>3703</v>
      </c>
      <c r="AI18">
        <v>75.978300000000004</v>
      </c>
      <c r="AJ18">
        <v>-0.78200000000000003</v>
      </c>
    </row>
    <row r="19" spans="1:36" x14ac:dyDescent="0.2">
      <c r="A19">
        <v>55</v>
      </c>
      <c r="B19" t="s">
        <v>29</v>
      </c>
      <c r="C19">
        <v>1430.6063109113359</v>
      </c>
      <c r="D19" t="s">
        <v>2</v>
      </c>
      <c r="E19" t="s">
        <v>33</v>
      </c>
      <c r="G19">
        <v>55</v>
      </c>
      <c r="H19" t="s">
        <v>29</v>
      </c>
      <c r="I19">
        <v>1430.606311</v>
      </c>
      <c r="J19" t="s">
        <v>2</v>
      </c>
      <c r="K19" t="s">
        <v>33</v>
      </c>
      <c r="M19" t="s">
        <v>98</v>
      </c>
      <c r="AE19" t="s">
        <v>35</v>
      </c>
      <c r="AF19">
        <v>47</v>
      </c>
      <c r="AG19">
        <v>3052.5</v>
      </c>
      <c r="AH19">
        <v>3783.5</v>
      </c>
      <c r="AI19">
        <v>64.946799999999996</v>
      </c>
      <c r="AJ19">
        <v>-2.7370000000000001</v>
      </c>
    </row>
    <row r="20" spans="1:36" x14ac:dyDescent="0.2">
      <c r="A20">
        <v>56</v>
      </c>
      <c r="B20" t="s">
        <v>35</v>
      </c>
      <c r="C20">
        <v>2242.6251952931575</v>
      </c>
      <c r="D20" t="s">
        <v>2</v>
      </c>
      <c r="E20" t="s">
        <v>27</v>
      </c>
      <c r="G20">
        <v>56</v>
      </c>
      <c r="H20" t="s">
        <v>35</v>
      </c>
      <c r="I20">
        <v>2242.6251950000001</v>
      </c>
      <c r="J20" t="s">
        <v>2</v>
      </c>
      <c r="K20" t="s">
        <v>27</v>
      </c>
      <c r="M20" t="s">
        <v>99</v>
      </c>
    </row>
    <row r="21" spans="1:36" x14ac:dyDescent="0.2">
      <c r="A21">
        <v>57</v>
      </c>
      <c r="B21" t="s">
        <v>35</v>
      </c>
      <c r="C21">
        <v>1118.7839087757541</v>
      </c>
      <c r="D21" t="s">
        <v>2</v>
      </c>
      <c r="E21" t="s">
        <v>27</v>
      </c>
      <c r="G21">
        <v>57</v>
      </c>
      <c r="H21" t="s">
        <v>35</v>
      </c>
      <c r="I21">
        <v>1118.783909</v>
      </c>
      <c r="J21" t="s">
        <v>2</v>
      </c>
      <c r="K21" t="s">
        <v>27</v>
      </c>
      <c r="M21" t="s">
        <v>35</v>
      </c>
      <c r="N21" t="s">
        <v>91</v>
      </c>
      <c r="O21" t="s">
        <v>100</v>
      </c>
    </row>
    <row r="22" spans="1:36" x14ac:dyDescent="0.2">
      <c r="A22">
        <v>60</v>
      </c>
      <c r="B22" t="s">
        <v>35</v>
      </c>
      <c r="C22">
        <v>2352.0711498345081</v>
      </c>
      <c r="D22" t="s">
        <v>2</v>
      </c>
      <c r="E22" t="s">
        <v>27</v>
      </c>
      <c r="G22">
        <v>60</v>
      </c>
      <c r="H22" t="s">
        <v>35</v>
      </c>
      <c r="I22">
        <v>2352.0711500000002</v>
      </c>
      <c r="J22" t="s">
        <v>2</v>
      </c>
      <c r="K22" t="s">
        <v>27</v>
      </c>
      <c r="M22">
        <v>0.95216800000000001</v>
      </c>
      <c r="N22" t="s">
        <v>91</v>
      </c>
      <c r="O22">
        <v>0.17910000000000001</v>
      </c>
    </row>
    <row r="23" spans="1:36" x14ac:dyDescent="0.2">
      <c r="A23">
        <v>63</v>
      </c>
      <c r="B23" t="s">
        <v>35</v>
      </c>
      <c r="C23">
        <v>13360.171691969352</v>
      </c>
      <c r="D23" t="s">
        <v>3</v>
      </c>
      <c r="E23" t="s">
        <v>27</v>
      </c>
      <c r="G23">
        <v>63</v>
      </c>
      <c r="H23" t="s">
        <v>35</v>
      </c>
      <c r="I23">
        <v>13360.171689999999</v>
      </c>
      <c r="J23" t="s">
        <v>3</v>
      </c>
      <c r="K23" t="s">
        <v>27</v>
      </c>
      <c r="T23" t="s">
        <v>203</v>
      </c>
    </row>
    <row r="24" spans="1:36" x14ac:dyDescent="0.2">
      <c r="A24">
        <v>64</v>
      </c>
      <c r="B24" t="s">
        <v>29</v>
      </c>
      <c r="C24">
        <v>12429.650399596905</v>
      </c>
      <c r="D24" t="s">
        <v>3</v>
      </c>
      <c r="E24" t="s">
        <v>27</v>
      </c>
      <c r="G24">
        <v>64</v>
      </c>
      <c r="H24" t="s">
        <v>29</v>
      </c>
      <c r="I24">
        <v>12429.6504</v>
      </c>
      <c r="J24" t="s">
        <v>3</v>
      </c>
      <c r="K24" t="s">
        <v>27</v>
      </c>
      <c r="AE24" t="s">
        <v>198</v>
      </c>
    </row>
    <row r="25" spans="1:36" x14ac:dyDescent="0.2">
      <c r="A25">
        <v>70</v>
      </c>
      <c r="B25" t="s">
        <v>35</v>
      </c>
      <c r="C25">
        <v>15902.390154094328</v>
      </c>
      <c r="D25" t="s">
        <v>3</v>
      </c>
      <c r="E25" t="s">
        <v>27</v>
      </c>
      <c r="G25">
        <v>70</v>
      </c>
      <c r="H25" t="s">
        <v>35</v>
      </c>
      <c r="I25">
        <v>15902.390149999999</v>
      </c>
      <c r="J25" t="s">
        <v>3</v>
      </c>
      <c r="K25" t="s">
        <v>27</v>
      </c>
      <c r="M25" t="s">
        <v>101</v>
      </c>
      <c r="T25" t="s">
        <v>204</v>
      </c>
      <c r="U25" t="s">
        <v>205</v>
      </c>
      <c r="V25" t="s">
        <v>206</v>
      </c>
    </row>
    <row r="26" spans="1:36" x14ac:dyDescent="0.2">
      <c r="A26">
        <v>71</v>
      </c>
      <c r="B26" t="s">
        <v>35</v>
      </c>
      <c r="C26">
        <v>8339.3179557126423</v>
      </c>
      <c r="D26" t="s">
        <v>3</v>
      </c>
      <c r="E26" t="s">
        <v>27</v>
      </c>
      <c r="G26">
        <v>71</v>
      </c>
      <c r="H26" t="s">
        <v>35</v>
      </c>
      <c r="I26">
        <v>8339.3179560000008</v>
      </c>
      <c r="J26" t="s">
        <v>3</v>
      </c>
      <c r="K26" t="s">
        <v>27</v>
      </c>
      <c r="M26" t="s">
        <v>20</v>
      </c>
      <c r="T26">
        <v>496</v>
      </c>
      <c r="U26">
        <v>-7.0105700000000004</v>
      </c>
      <c r="V26" t="s">
        <v>123</v>
      </c>
      <c r="AE26" t="s">
        <v>199</v>
      </c>
      <c r="AF26" t="s">
        <v>114</v>
      </c>
      <c r="AG26" t="s">
        <v>200</v>
      </c>
    </row>
    <row r="27" spans="1:36" x14ac:dyDescent="0.2">
      <c r="A27">
        <v>72</v>
      </c>
      <c r="B27" t="s">
        <v>25</v>
      </c>
      <c r="C27">
        <v>2313.7922680627848</v>
      </c>
      <c r="D27" t="s">
        <v>2</v>
      </c>
      <c r="E27" t="s">
        <v>27</v>
      </c>
      <c r="G27">
        <v>72</v>
      </c>
      <c r="H27" t="s">
        <v>25</v>
      </c>
      <c r="I27">
        <v>2313.7922680000001</v>
      </c>
      <c r="J27" t="s">
        <v>2</v>
      </c>
      <c r="K27" t="s">
        <v>27</v>
      </c>
      <c r="M27" t="s">
        <v>182</v>
      </c>
      <c r="AE27">
        <v>11.865</v>
      </c>
      <c r="AF27">
        <v>2</v>
      </c>
      <c r="AG27" s="23">
        <v>2.7000000000000001E-3</v>
      </c>
    </row>
    <row r="28" spans="1:36" x14ac:dyDescent="0.2">
      <c r="A28">
        <v>74</v>
      </c>
      <c r="B28" t="s">
        <v>25</v>
      </c>
      <c r="C28">
        <v>900.26232644626964</v>
      </c>
      <c r="D28" t="s">
        <v>2</v>
      </c>
      <c r="E28" t="s">
        <v>27</v>
      </c>
      <c r="G28">
        <v>74</v>
      </c>
      <c r="H28" t="s">
        <v>25</v>
      </c>
      <c r="I28">
        <v>900.26232640000001</v>
      </c>
      <c r="J28" t="s">
        <v>2</v>
      </c>
      <c r="K28" t="s">
        <v>27</v>
      </c>
    </row>
    <row r="29" spans="1:36" x14ac:dyDescent="0.2">
      <c r="A29">
        <v>80</v>
      </c>
      <c r="B29" t="s">
        <v>35</v>
      </c>
      <c r="C29">
        <v>3187.8724896010053</v>
      </c>
      <c r="D29" t="s">
        <v>2</v>
      </c>
      <c r="E29" t="s">
        <v>27</v>
      </c>
      <c r="G29">
        <v>80</v>
      </c>
      <c r="H29" t="s">
        <v>35</v>
      </c>
      <c r="I29">
        <v>3187.8724900000002</v>
      </c>
      <c r="J29" t="s">
        <v>2</v>
      </c>
      <c r="K29" t="s">
        <v>27</v>
      </c>
      <c r="M29" t="s">
        <v>90</v>
      </c>
    </row>
    <row r="30" spans="1:36" x14ac:dyDescent="0.2">
      <c r="A30">
        <v>84</v>
      </c>
      <c r="B30" t="s">
        <v>35</v>
      </c>
      <c r="C30">
        <v>7794.7814620102381</v>
      </c>
      <c r="D30" t="s">
        <v>3</v>
      </c>
      <c r="E30" t="s">
        <v>27</v>
      </c>
      <c r="G30">
        <v>84</v>
      </c>
      <c r="H30" t="s">
        <v>35</v>
      </c>
      <c r="I30">
        <v>7794.7814619999999</v>
      </c>
      <c r="J30" t="s">
        <v>3</v>
      </c>
      <c r="K30" t="s">
        <v>27</v>
      </c>
      <c r="M30" t="s">
        <v>69</v>
      </c>
      <c r="N30">
        <v>43510.226999999999</v>
      </c>
    </row>
    <row r="31" spans="1:36" x14ac:dyDescent="0.2">
      <c r="A31">
        <v>91</v>
      </c>
      <c r="B31" t="s">
        <v>29</v>
      </c>
      <c r="C31">
        <v>67113.076308910415</v>
      </c>
      <c r="D31" t="s">
        <v>3</v>
      </c>
      <c r="E31" t="s">
        <v>33</v>
      </c>
      <c r="G31">
        <v>91</v>
      </c>
      <c r="H31" t="s">
        <v>29</v>
      </c>
      <c r="I31">
        <v>67113.076310000004</v>
      </c>
      <c r="J31" t="s">
        <v>3</v>
      </c>
      <c r="K31" t="s">
        <v>33</v>
      </c>
      <c r="M31" t="s">
        <v>92</v>
      </c>
      <c r="N31">
        <v>21347.102999999999</v>
      </c>
      <c r="T31" t="s">
        <v>198</v>
      </c>
    </row>
    <row r="32" spans="1:36" x14ac:dyDescent="0.2">
      <c r="A32">
        <v>93</v>
      </c>
      <c r="B32" t="s">
        <v>35</v>
      </c>
      <c r="C32">
        <v>14250.566137660617</v>
      </c>
      <c r="D32" t="s">
        <v>3</v>
      </c>
      <c r="E32" t="s">
        <v>27</v>
      </c>
      <c r="G32">
        <v>93</v>
      </c>
      <c r="H32" t="s">
        <v>35</v>
      </c>
      <c r="I32">
        <v>14250.566140000001</v>
      </c>
      <c r="J32" t="s">
        <v>3</v>
      </c>
      <c r="K32" t="s">
        <v>27</v>
      </c>
      <c r="M32" t="s">
        <v>93</v>
      </c>
      <c r="N32">
        <v>3557.8503999999998</v>
      </c>
    </row>
    <row r="33" spans="1:32" x14ac:dyDescent="0.2">
      <c r="A33">
        <v>96</v>
      </c>
      <c r="B33" t="s">
        <v>35</v>
      </c>
      <c r="C33">
        <v>3084.2662405814831</v>
      </c>
      <c r="D33" t="s">
        <v>2</v>
      </c>
      <c r="E33" t="s">
        <v>27</v>
      </c>
      <c r="G33">
        <v>96</v>
      </c>
      <c r="H33" t="s">
        <v>35</v>
      </c>
      <c r="I33">
        <v>3084.2662409999998</v>
      </c>
      <c r="J33" t="s">
        <v>2</v>
      </c>
      <c r="K33" t="s">
        <v>27</v>
      </c>
      <c r="M33" t="s">
        <v>94</v>
      </c>
      <c r="N33">
        <v>50733.046999999999</v>
      </c>
      <c r="T33" t="s">
        <v>199</v>
      </c>
      <c r="U33" t="s">
        <v>114</v>
      </c>
      <c r="V33" t="s">
        <v>200</v>
      </c>
    </row>
    <row r="34" spans="1:32" x14ac:dyDescent="0.2">
      <c r="A34">
        <v>99</v>
      </c>
      <c r="B34" t="s">
        <v>29</v>
      </c>
      <c r="C34">
        <v>3166.9684745028849</v>
      </c>
      <c r="D34" t="s">
        <v>2</v>
      </c>
      <c r="E34" t="s">
        <v>27</v>
      </c>
      <c r="G34">
        <v>99</v>
      </c>
      <c r="H34" t="s">
        <v>29</v>
      </c>
      <c r="I34">
        <v>3166.9684750000001</v>
      </c>
      <c r="J34" t="s">
        <v>2</v>
      </c>
      <c r="K34" t="s">
        <v>27</v>
      </c>
      <c r="M34" t="s">
        <v>95</v>
      </c>
      <c r="N34">
        <v>36287.406999999999</v>
      </c>
      <c r="T34">
        <v>49.2363</v>
      </c>
      <c r="U34">
        <v>1</v>
      </c>
      <c r="V34" s="23" t="s">
        <v>123</v>
      </c>
    </row>
    <row r="35" spans="1:32" x14ac:dyDescent="0.2">
      <c r="A35">
        <v>100</v>
      </c>
      <c r="B35" t="s">
        <v>29</v>
      </c>
      <c r="C35">
        <v>16365.537880253478</v>
      </c>
      <c r="D35" t="s">
        <v>3</v>
      </c>
      <c r="E35" t="s">
        <v>27</v>
      </c>
      <c r="G35">
        <v>100</v>
      </c>
      <c r="H35" t="s">
        <v>29</v>
      </c>
      <c r="I35">
        <v>16365.53788</v>
      </c>
      <c r="J35" t="s">
        <v>3</v>
      </c>
      <c r="K35" t="s">
        <v>27</v>
      </c>
      <c r="M35" t="s">
        <v>96</v>
      </c>
      <c r="N35">
        <v>36</v>
      </c>
    </row>
    <row r="36" spans="1:32" x14ac:dyDescent="0.2">
      <c r="A36">
        <v>101</v>
      </c>
      <c r="B36" t="s">
        <v>35</v>
      </c>
      <c r="C36">
        <v>8805.1345863059323</v>
      </c>
      <c r="D36" t="s">
        <v>3</v>
      </c>
      <c r="E36" t="s">
        <v>27</v>
      </c>
      <c r="G36">
        <v>101</v>
      </c>
      <c r="H36" t="s">
        <v>35</v>
      </c>
      <c r="I36">
        <v>8805.1345860000001</v>
      </c>
      <c r="J36" t="s">
        <v>3</v>
      </c>
      <c r="K36" t="s">
        <v>27</v>
      </c>
      <c r="AE36" t="s">
        <v>164</v>
      </c>
    </row>
    <row r="37" spans="1:32" x14ac:dyDescent="0.2">
      <c r="A37">
        <v>102</v>
      </c>
      <c r="B37" t="s">
        <v>25</v>
      </c>
      <c r="C37">
        <v>26051.563749458812</v>
      </c>
      <c r="D37" t="s">
        <v>3</v>
      </c>
      <c r="E37" t="s">
        <v>33</v>
      </c>
      <c r="G37">
        <v>102</v>
      </c>
      <c r="H37" t="s">
        <v>25</v>
      </c>
      <c r="I37">
        <v>26051.563750000001</v>
      </c>
      <c r="J37" t="s">
        <v>3</v>
      </c>
      <c r="K37" t="s">
        <v>33</v>
      </c>
      <c r="M37" t="s">
        <v>97</v>
      </c>
    </row>
    <row r="38" spans="1:32" x14ac:dyDescent="0.2">
      <c r="A38">
        <v>103</v>
      </c>
      <c r="B38" t="s">
        <v>35</v>
      </c>
      <c r="C38">
        <v>2275.9309699281694</v>
      </c>
      <c r="D38" t="s">
        <v>2</v>
      </c>
      <c r="E38" t="s">
        <v>27</v>
      </c>
      <c r="G38">
        <v>103</v>
      </c>
      <c r="H38" t="s">
        <v>35</v>
      </c>
      <c r="I38">
        <v>2275.9309699999999</v>
      </c>
      <c r="J38" t="s">
        <v>2</v>
      </c>
      <c r="K38" t="s">
        <v>27</v>
      </c>
      <c r="M38" t="s">
        <v>98</v>
      </c>
    </row>
    <row r="39" spans="1:32" x14ac:dyDescent="0.2">
      <c r="A39">
        <v>105</v>
      </c>
      <c r="B39" t="s">
        <v>29</v>
      </c>
      <c r="C39">
        <v>2242.6251952931575</v>
      </c>
      <c r="D39" t="s">
        <v>2</v>
      </c>
      <c r="E39" t="s">
        <v>33</v>
      </c>
      <c r="G39">
        <v>105</v>
      </c>
      <c r="H39" t="s">
        <v>29</v>
      </c>
      <c r="I39">
        <v>2242.6251950000001</v>
      </c>
      <c r="J39" t="s">
        <v>2</v>
      </c>
      <c r="K39" t="s">
        <v>33</v>
      </c>
      <c r="M39" t="s">
        <v>99</v>
      </c>
      <c r="T39" t="s">
        <v>221</v>
      </c>
      <c r="AE39" t="s">
        <v>165</v>
      </c>
    </row>
    <row r="40" spans="1:32" x14ac:dyDescent="0.2">
      <c r="A40">
        <v>111</v>
      </c>
      <c r="B40" t="s">
        <v>25</v>
      </c>
      <c r="C40">
        <v>620.09128180004541</v>
      </c>
      <c r="D40" t="s">
        <v>2</v>
      </c>
      <c r="E40" t="s">
        <v>33</v>
      </c>
      <c r="G40">
        <v>111</v>
      </c>
      <c r="H40" t="s">
        <v>25</v>
      </c>
      <c r="I40">
        <v>620.09128180000005</v>
      </c>
      <c r="J40" t="s">
        <v>2</v>
      </c>
      <c r="K40" t="s">
        <v>33</v>
      </c>
      <c r="M40" t="s">
        <v>35</v>
      </c>
      <c r="N40" t="s">
        <v>91</v>
      </c>
      <c r="O40" t="s">
        <v>100</v>
      </c>
    </row>
    <row r="41" spans="1:32" x14ac:dyDescent="0.2">
      <c r="A41">
        <v>113</v>
      </c>
      <c r="B41" t="s">
        <v>29</v>
      </c>
      <c r="C41">
        <v>11213.114621179146</v>
      </c>
      <c r="D41" t="s">
        <v>3</v>
      </c>
      <c r="E41" t="s">
        <v>27</v>
      </c>
      <c r="G41">
        <v>113</v>
      </c>
      <c r="H41" t="s">
        <v>29</v>
      </c>
      <c r="I41">
        <v>11213.11462</v>
      </c>
      <c r="J41" t="s">
        <v>3</v>
      </c>
      <c r="K41" t="s">
        <v>27</v>
      </c>
      <c r="M41">
        <v>0.93306800000000001</v>
      </c>
      <c r="N41" t="s">
        <v>91</v>
      </c>
      <c r="O41">
        <v>3.1E-2</v>
      </c>
      <c r="T41" t="s">
        <v>107</v>
      </c>
    </row>
    <row r="42" spans="1:32" x14ac:dyDescent="0.2">
      <c r="A42">
        <v>120</v>
      </c>
      <c r="B42" t="s">
        <v>25</v>
      </c>
      <c r="C42">
        <v>11273.79151709617</v>
      </c>
      <c r="D42" t="s">
        <v>3</v>
      </c>
      <c r="E42" t="s">
        <v>33</v>
      </c>
      <c r="G42">
        <v>120</v>
      </c>
      <c r="H42" t="s">
        <v>25</v>
      </c>
      <c r="I42">
        <v>11273.791520000001</v>
      </c>
      <c r="J42" t="s">
        <v>3</v>
      </c>
      <c r="K42" t="s">
        <v>33</v>
      </c>
      <c r="T42">
        <v>3</v>
      </c>
      <c r="AE42" t="s">
        <v>166</v>
      </c>
    </row>
    <row r="43" spans="1:32" x14ac:dyDescent="0.2">
      <c r="A43">
        <v>121</v>
      </c>
      <c r="B43" t="s">
        <v>25</v>
      </c>
      <c r="C43">
        <v>17318.637401092208</v>
      </c>
      <c r="D43" t="s">
        <v>3</v>
      </c>
      <c r="E43" t="s">
        <v>33</v>
      </c>
      <c r="G43">
        <v>121</v>
      </c>
      <c r="H43" t="s">
        <v>25</v>
      </c>
      <c r="I43">
        <v>17318.6374</v>
      </c>
      <c r="J43" t="s">
        <v>3</v>
      </c>
      <c r="K43" t="s">
        <v>33</v>
      </c>
    </row>
    <row r="44" spans="1:32" x14ac:dyDescent="0.2">
      <c r="A44">
        <v>122</v>
      </c>
      <c r="B44" t="s">
        <v>29</v>
      </c>
      <c r="C44">
        <v>42891.191447162062</v>
      </c>
      <c r="D44" t="s">
        <v>3</v>
      </c>
      <c r="E44" t="s">
        <v>33</v>
      </c>
      <c r="G44">
        <v>122</v>
      </c>
      <c r="H44" t="s">
        <v>29</v>
      </c>
      <c r="I44">
        <v>42891.191449999998</v>
      </c>
      <c r="J44" t="s">
        <v>3</v>
      </c>
      <c r="K44" t="s">
        <v>33</v>
      </c>
      <c r="M44" t="s">
        <v>102</v>
      </c>
      <c r="AE44" t="s">
        <v>167</v>
      </c>
      <c r="AF44" t="s">
        <v>168</v>
      </c>
    </row>
    <row r="45" spans="1:32" x14ac:dyDescent="0.2">
      <c r="A45">
        <v>126</v>
      </c>
      <c r="B45" t="s">
        <v>25</v>
      </c>
      <c r="C45" s="23">
        <v>36751.111716164189</v>
      </c>
      <c r="D45" t="s">
        <v>3</v>
      </c>
      <c r="E45" t="s">
        <v>27</v>
      </c>
      <c r="G45">
        <v>126</v>
      </c>
      <c r="H45" t="s">
        <v>25</v>
      </c>
      <c r="J45" t="s">
        <v>3</v>
      </c>
      <c r="K45" t="s">
        <v>27</v>
      </c>
      <c r="M45" t="s">
        <v>20</v>
      </c>
      <c r="T45" t="s">
        <v>193</v>
      </c>
      <c r="AE45">
        <v>2.36619</v>
      </c>
      <c r="AF45">
        <v>0.05</v>
      </c>
    </row>
    <row r="46" spans="1:32" x14ac:dyDescent="0.2">
      <c r="A46">
        <v>128</v>
      </c>
      <c r="B46" t="s">
        <v>25</v>
      </c>
      <c r="C46">
        <v>2947.9931262901027</v>
      </c>
      <c r="D46" t="s">
        <v>2</v>
      </c>
      <c r="E46" t="s">
        <v>33</v>
      </c>
      <c r="G46">
        <v>128</v>
      </c>
      <c r="H46" t="s">
        <v>25</v>
      </c>
      <c r="I46">
        <v>2947.9931259999998</v>
      </c>
      <c r="J46" t="s">
        <v>2</v>
      </c>
      <c r="K46" t="s">
        <v>33</v>
      </c>
      <c r="M46" t="s">
        <v>183</v>
      </c>
    </row>
    <row r="47" spans="1:32" x14ac:dyDescent="0.2">
      <c r="A47">
        <v>130</v>
      </c>
      <c r="B47" t="s">
        <v>25</v>
      </c>
      <c r="C47">
        <v>2213.7505496550416</v>
      </c>
      <c r="D47" t="s">
        <v>2</v>
      </c>
      <c r="E47" t="s">
        <v>33</v>
      </c>
      <c r="G47">
        <v>130</v>
      </c>
      <c r="H47" t="s">
        <v>25</v>
      </c>
      <c r="I47">
        <v>2213.7505500000002</v>
      </c>
      <c r="J47" t="s">
        <v>2</v>
      </c>
      <c r="K47" t="s">
        <v>33</v>
      </c>
      <c r="T47" t="s">
        <v>158</v>
      </c>
      <c r="U47" t="s">
        <v>82</v>
      </c>
      <c r="V47" t="s">
        <v>194</v>
      </c>
      <c r="W47" t="s">
        <v>195</v>
      </c>
      <c r="X47" t="s">
        <v>196</v>
      </c>
      <c r="Y47" t="s">
        <v>197</v>
      </c>
    </row>
    <row r="48" spans="1:32" x14ac:dyDescent="0.2">
      <c r="A48">
        <v>131</v>
      </c>
      <c r="B48" t="s">
        <v>25</v>
      </c>
      <c r="C48">
        <v>2313.7922680627848</v>
      </c>
      <c r="D48" t="s">
        <v>2</v>
      </c>
      <c r="E48" t="s">
        <v>27</v>
      </c>
      <c r="G48">
        <v>131</v>
      </c>
      <c r="H48" t="s">
        <v>25</v>
      </c>
      <c r="I48">
        <v>2313.7922680000001</v>
      </c>
      <c r="J48" t="s">
        <v>2</v>
      </c>
      <c r="K48" t="s">
        <v>27</v>
      </c>
      <c r="M48" t="s">
        <v>90</v>
      </c>
      <c r="T48" t="s">
        <v>2</v>
      </c>
      <c r="U48">
        <v>23</v>
      </c>
      <c r="V48">
        <v>276</v>
      </c>
      <c r="W48">
        <v>540.5</v>
      </c>
      <c r="X48">
        <v>12</v>
      </c>
      <c r="Y48">
        <v>-5.8</v>
      </c>
    </row>
    <row r="49" spans="1:34" x14ac:dyDescent="0.2">
      <c r="A49">
        <v>132</v>
      </c>
      <c r="B49" t="s">
        <v>25</v>
      </c>
      <c r="C49">
        <v>3320.6100544728383</v>
      </c>
      <c r="D49" t="s">
        <v>2</v>
      </c>
      <c r="E49" t="s">
        <v>27</v>
      </c>
      <c r="G49">
        <v>132</v>
      </c>
      <c r="H49" t="s">
        <v>25</v>
      </c>
      <c r="I49">
        <v>3320.6100540000002</v>
      </c>
      <c r="J49" t="s">
        <v>2</v>
      </c>
      <c r="K49" t="s">
        <v>27</v>
      </c>
      <c r="M49" t="s">
        <v>69</v>
      </c>
      <c r="N49">
        <v>2031.5160000000001</v>
      </c>
      <c r="T49" t="s">
        <v>3</v>
      </c>
      <c r="U49">
        <v>23</v>
      </c>
      <c r="V49">
        <v>805</v>
      </c>
      <c r="W49">
        <v>540.5</v>
      </c>
      <c r="X49">
        <v>35</v>
      </c>
      <c r="Y49">
        <v>5.8</v>
      </c>
    </row>
    <row r="50" spans="1:34" x14ac:dyDescent="0.2">
      <c r="A50">
        <v>135</v>
      </c>
      <c r="B50" t="s">
        <v>35</v>
      </c>
      <c r="C50" s="23">
        <v>34834.287537431745</v>
      </c>
      <c r="D50" t="s">
        <v>3</v>
      </c>
      <c r="E50" t="s">
        <v>27</v>
      </c>
      <c r="G50">
        <v>135</v>
      </c>
      <c r="H50" t="s">
        <v>35</v>
      </c>
      <c r="J50" t="s">
        <v>3</v>
      </c>
      <c r="K50" t="s">
        <v>27</v>
      </c>
      <c r="M50" t="s">
        <v>92</v>
      </c>
      <c r="N50">
        <v>960.23870999999997</v>
      </c>
      <c r="AE50" t="s">
        <v>169</v>
      </c>
    </row>
    <row r="51" spans="1:34" x14ac:dyDescent="0.2">
      <c r="A51">
        <v>138</v>
      </c>
      <c r="B51" t="s">
        <v>35</v>
      </c>
      <c r="C51">
        <v>11518.688005445649</v>
      </c>
      <c r="D51" t="s">
        <v>3</v>
      </c>
      <c r="E51" t="s">
        <v>27</v>
      </c>
      <c r="G51">
        <v>138</v>
      </c>
      <c r="H51" t="s">
        <v>35</v>
      </c>
      <c r="I51">
        <v>11518.68801</v>
      </c>
      <c r="J51" t="s">
        <v>3</v>
      </c>
      <c r="K51" t="s">
        <v>27</v>
      </c>
      <c r="M51" t="s">
        <v>93</v>
      </c>
      <c r="N51">
        <v>200.22361000000001</v>
      </c>
      <c r="AE51" t="s">
        <v>170</v>
      </c>
    </row>
    <row r="52" spans="1:34" x14ac:dyDescent="0.2">
      <c r="A52">
        <v>141</v>
      </c>
      <c r="B52" t="s">
        <v>29</v>
      </c>
      <c r="C52">
        <v>2554.3250711264609</v>
      </c>
      <c r="D52" t="s">
        <v>2</v>
      </c>
      <c r="E52" t="s">
        <v>33</v>
      </c>
      <c r="G52">
        <v>141</v>
      </c>
      <c r="H52" t="s">
        <v>29</v>
      </c>
      <c r="I52">
        <v>2554.3250710000002</v>
      </c>
      <c r="J52" t="s">
        <v>2</v>
      </c>
      <c r="K52" t="s">
        <v>33</v>
      </c>
      <c r="M52" t="s">
        <v>94</v>
      </c>
      <c r="N52">
        <v>2446.7543999999998</v>
      </c>
      <c r="AF52" t="s">
        <v>29</v>
      </c>
      <c r="AG52" t="s">
        <v>25</v>
      </c>
      <c r="AH52" t="s">
        <v>35</v>
      </c>
    </row>
    <row r="53" spans="1:34" x14ac:dyDescent="0.2">
      <c r="A53">
        <v>147</v>
      </c>
      <c r="B53" t="s">
        <v>29</v>
      </c>
      <c r="C53">
        <v>1511.9192278415653</v>
      </c>
      <c r="D53" t="s">
        <v>2</v>
      </c>
      <c r="E53" t="s">
        <v>33</v>
      </c>
      <c r="G53">
        <v>147</v>
      </c>
      <c r="H53" t="s">
        <v>29</v>
      </c>
      <c r="I53">
        <v>1511.919228</v>
      </c>
      <c r="J53" t="s">
        <v>2</v>
      </c>
      <c r="K53" t="s">
        <v>33</v>
      </c>
      <c r="M53" t="s">
        <v>95</v>
      </c>
      <c r="N53">
        <v>1616.2775999999999</v>
      </c>
      <c r="AE53" t="s">
        <v>29</v>
      </c>
      <c r="AF53">
        <v>-7204.3</v>
      </c>
      <c r="AG53">
        <v>6883.6</v>
      </c>
      <c r="AH53">
        <v>9533.5</v>
      </c>
    </row>
    <row r="54" spans="1:34" x14ac:dyDescent="0.2">
      <c r="A54">
        <v>150</v>
      </c>
      <c r="B54" t="s">
        <v>25</v>
      </c>
      <c r="C54">
        <v>1400.1256783963138</v>
      </c>
      <c r="D54" t="s">
        <v>2</v>
      </c>
      <c r="E54" t="s">
        <v>33</v>
      </c>
      <c r="G54">
        <v>150</v>
      </c>
      <c r="H54" t="s">
        <v>25</v>
      </c>
      <c r="I54">
        <v>1400.1256780000001</v>
      </c>
      <c r="J54" t="s">
        <v>2</v>
      </c>
      <c r="K54" t="s">
        <v>33</v>
      </c>
      <c r="M54" t="s">
        <v>96</v>
      </c>
      <c r="N54">
        <v>23</v>
      </c>
      <c r="T54" t="s">
        <v>203</v>
      </c>
      <c r="AE54" t="s">
        <v>25</v>
      </c>
      <c r="AF54">
        <v>6883.6</v>
      </c>
      <c r="AG54">
        <v>-8694.6</v>
      </c>
      <c r="AH54">
        <v>-6048.8</v>
      </c>
    </row>
    <row r="55" spans="1:34" x14ac:dyDescent="0.2">
      <c r="A55">
        <v>157</v>
      </c>
      <c r="B55" t="s">
        <v>35</v>
      </c>
      <c r="C55" s="23">
        <v>39014.479362299266</v>
      </c>
      <c r="D55" t="s">
        <v>3</v>
      </c>
      <c r="E55" t="s">
        <v>27</v>
      </c>
      <c r="G55">
        <v>157</v>
      </c>
      <c r="H55" t="s">
        <v>35</v>
      </c>
      <c r="J55" t="s">
        <v>3</v>
      </c>
      <c r="K55" t="s">
        <v>27</v>
      </c>
      <c r="AE55" t="s">
        <v>35</v>
      </c>
      <c r="AF55">
        <v>9533.5</v>
      </c>
      <c r="AG55">
        <v>-6048.8</v>
      </c>
      <c r="AH55">
        <v>-8601.6</v>
      </c>
    </row>
    <row r="56" spans="1:34" x14ac:dyDescent="0.2">
      <c r="A56">
        <v>158</v>
      </c>
      <c r="B56" t="s">
        <v>29</v>
      </c>
      <c r="C56">
        <v>39685.842035202906</v>
      </c>
      <c r="D56" t="s">
        <v>3</v>
      </c>
      <c r="E56" t="s">
        <v>27</v>
      </c>
      <c r="G56">
        <v>158</v>
      </c>
      <c r="H56" t="s">
        <v>29</v>
      </c>
      <c r="I56">
        <v>39685.842040000003</v>
      </c>
      <c r="J56" t="s">
        <v>3</v>
      </c>
      <c r="K56" t="s">
        <v>27</v>
      </c>
      <c r="M56" t="s">
        <v>97</v>
      </c>
      <c r="N56" t="s">
        <v>91</v>
      </c>
      <c r="T56" t="s">
        <v>204</v>
      </c>
      <c r="U56" t="s">
        <v>205</v>
      </c>
      <c r="V56" t="s">
        <v>206</v>
      </c>
    </row>
    <row r="57" spans="1:34" x14ac:dyDescent="0.2">
      <c r="A57">
        <v>159</v>
      </c>
      <c r="B57" t="s">
        <v>29</v>
      </c>
      <c r="C57">
        <v>4315.7147367816224</v>
      </c>
      <c r="D57" t="s">
        <v>2</v>
      </c>
      <c r="E57" t="s">
        <v>27</v>
      </c>
      <c r="G57">
        <v>159</v>
      </c>
      <c r="H57" t="s">
        <v>29</v>
      </c>
      <c r="I57">
        <v>4315.7147370000002</v>
      </c>
      <c r="J57" t="s">
        <v>2</v>
      </c>
      <c r="K57" t="s">
        <v>27</v>
      </c>
      <c r="M57" t="s">
        <v>98</v>
      </c>
      <c r="T57">
        <v>805</v>
      </c>
      <c r="U57">
        <v>5.8000400000000001</v>
      </c>
      <c r="V57" t="s">
        <v>123</v>
      </c>
    </row>
    <row r="58" spans="1:34" x14ac:dyDescent="0.2">
      <c r="A58">
        <v>164</v>
      </c>
      <c r="B58" t="s">
        <v>29</v>
      </c>
      <c r="C58">
        <v>15932.991281348381</v>
      </c>
      <c r="D58" t="s">
        <v>3</v>
      </c>
      <c r="E58" t="s">
        <v>27</v>
      </c>
      <c r="G58">
        <v>164</v>
      </c>
      <c r="H58" t="s">
        <v>29</v>
      </c>
      <c r="I58">
        <v>15932.99128</v>
      </c>
      <c r="J58" t="s">
        <v>3</v>
      </c>
      <c r="K58" t="s">
        <v>27</v>
      </c>
      <c r="M58" t="s">
        <v>99</v>
      </c>
      <c r="AE58" t="s">
        <v>171</v>
      </c>
    </row>
    <row r="59" spans="1:34" x14ac:dyDescent="0.2">
      <c r="A59">
        <v>165</v>
      </c>
      <c r="B59" t="s">
        <v>35</v>
      </c>
      <c r="C59">
        <v>817.28323443628221</v>
      </c>
      <c r="D59" t="s">
        <v>2</v>
      </c>
      <c r="E59" t="s">
        <v>27</v>
      </c>
      <c r="G59">
        <v>165</v>
      </c>
      <c r="H59" t="s">
        <v>35</v>
      </c>
      <c r="I59">
        <v>817.28323439999997</v>
      </c>
      <c r="J59" t="s">
        <v>2</v>
      </c>
      <c r="K59" t="s">
        <v>27</v>
      </c>
      <c r="M59" t="s">
        <v>35</v>
      </c>
      <c r="N59" t="s">
        <v>91</v>
      </c>
      <c r="O59" t="s">
        <v>100</v>
      </c>
    </row>
    <row r="60" spans="1:34" x14ac:dyDescent="0.2">
      <c r="A60">
        <v>166</v>
      </c>
      <c r="B60" t="s">
        <v>35</v>
      </c>
      <c r="C60">
        <v>3074.0308521290735</v>
      </c>
      <c r="D60" t="s">
        <v>2</v>
      </c>
      <c r="E60" t="s">
        <v>27</v>
      </c>
      <c r="G60">
        <v>166</v>
      </c>
      <c r="H60" t="s">
        <v>35</v>
      </c>
      <c r="I60">
        <v>3074.0308519999999</v>
      </c>
      <c r="J60" t="s">
        <v>2</v>
      </c>
      <c r="K60" t="s">
        <v>27</v>
      </c>
      <c r="M60">
        <v>0.904339</v>
      </c>
      <c r="N60" t="s">
        <v>91</v>
      </c>
      <c r="O60">
        <v>3.1099999999999999E-2</v>
      </c>
    </row>
    <row r="61" spans="1:34" x14ac:dyDescent="0.2">
      <c r="A61">
        <v>169</v>
      </c>
      <c r="B61" t="s">
        <v>29</v>
      </c>
      <c r="C61">
        <v>2558.845999407763</v>
      </c>
      <c r="D61" t="s">
        <v>2</v>
      </c>
      <c r="E61" t="s">
        <v>27</v>
      </c>
      <c r="G61">
        <v>169</v>
      </c>
      <c r="H61" t="s">
        <v>29</v>
      </c>
      <c r="I61">
        <v>2558.8459990000001</v>
      </c>
      <c r="J61" t="s">
        <v>2</v>
      </c>
      <c r="K61" t="s">
        <v>27</v>
      </c>
    </row>
    <row r="62" spans="1:34" x14ac:dyDescent="0.2">
      <c r="A62">
        <v>172</v>
      </c>
      <c r="B62" t="s">
        <v>29</v>
      </c>
      <c r="C62">
        <v>2943.0245995954801</v>
      </c>
      <c r="D62" t="s">
        <v>2</v>
      </c>
      <c r="E62" t="s">
        <v>33</v>
      </c>
      <c r="G62">
        <v>172</v>
      </c>
      <c r="H62" t="s">
        <v>29</v>
      </c>
      <c r="I62">
        <v>2943.0246000000002</v>
      </c>
      <c r="J62" t="s">
        <v>2</v>
      </c>
      <c r="K62" t="s">
        <v>33</v>
      </c>
      <c r="T62" t="s">
        <v>198</v>
      </c>
      <c r="AE62" t="s">
        <v>172</v>
      </c>
    </row>
    <row r="63" spans="1:34" x14ac:dyDescent="0.2">
      <c r="A63">
        <v>177</v>
      </c>
      <c r="B63" t="s">
        <v>25</v>
      </c>
      <c r="C63">
        <v>21258.725231443725</v>
      </c>
      <c r="D63" t="s">
        <v>3</v>
      </c>
      <c r="E63" t="s">
        <v>33</v>
      </c>
      <c r="G63">
        <v>177</v>
      </c>
      <c r="H63" t="s">
        <v>25</v>
      </c>
      <c r="I63">
        <v>21258.72523</v>
      </c>
      <c r="J63" t="s">
        <v>3</v>
      </c>
      <c r="K63" t="s">
        <v>33</v>
      </c>
      <c r="M63" t="s">
        <v>103</v>
      </c>
    </row>
    <row r="64" spans="1:34" x14ac:dyDescent="0.2">
      <c r="A64">
        <v>181</v>
      </c>
      <c r="B64" t="s">
        <v>29</v>
      </c>
      <c r="C64">
        <v>55690.842943003066</v>
      </c>
      <c r="D64" t="s">
        <v>3</v>
      </c>
      <c r="E64" t="s">
        <v>33</v>
      </c>
      <c r="G64">
        <v>181</v>
      </c>
      <c r="H64" t="s">
        <v>29</v>
      </c>
      <c r="I64">
        <v>55690.842940000002</v>
      </c>
      <c r="J64" t="s">
        <v>3</v>
      </c>
      <c r="K64" t="s">
        <v>33</v>
      </c>
      <c r="M64" t="s">
        <v>20</v>
      </c>
      <c r="T64" t="s">
        <v>199</v>
      </c>
      <c r="U64" t="s">
        <v>114</v>
      </c>
      <c r="V64" t="s">
        <v>200</v>
      </c>
    </row>
    <row r="65" spans="1:38" x14ac:dyDescent="0.2">
      <c r="A65">
        <v>183</v>
      </c>
      <c r="B65" t="s">
        <v>25</v>
      </c>
      <c r="C65">
        <v>20039.566609576123</v>
      </c>
      <c r="D65" t="s">
        <v>3</v>
      </c>
      <c r="E65" t="s">
        <v>27</v>
      </c>
      <c r="G65">
        <v>183</v>
      </c>
      <c r="H65" t="s">
        <v>25</v>
      </c>
      <c r="I65">
        <v>20039.566610000002</v>
      </c>
      <c r="J65" t="s">
        <v>3</v>
      </c>
      <c r="K65" t="s">
        <v>27</v>
      </c>
      <c r="M65" t="s">
        <v>184</v>
      </c>
      <c r="T65">
        <v>33.768000000000001</v>
      </c>
      <c r="U65">
        <v>1</v>
      </c>
      <c r="V65" s="23" t="s">
        <v>123</v>
      </c>
      <c r="AE65" t="s">
        <v>158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91</v>
      </c>
      <c r="AL65" t="s">
        <v>69</v>
      </c>
    </row>
    <row r="66" spans="1:38" x14ac:dyDescent="0.2">
      <c r="A66">
        <v>185</v>
      </c>
      <c r="B66" t="s">
        <v>25</v>
      </c>
      <c r="C66">
        <v>21055.264341146594</v>
      </c>
      <c r="D66" t="s">
        <v>3</v>
      </c>
      <c r="E66" t="s">
        <v>33</v>
      </c>
      <c r="G66">
        <v>185</v>
      </c>
      <c r="H66" t="s">
        <v>25</v>
      </c>
      <c r="I66">
        <v>21055.264340000002</v>
      </c>
      <c r="J66" t="s">
        <v>3</v>
      </c>
      <c r="K66" t="s">
        <v>33</v>
      </c>
      <c r="AE66" t="s">
        <v>29</v>
      </c>
      <c r="AF66" t="s">
        <v>173</v>
      </c>
      <c r="AG66" t="s">
        <v>91</v>
      </c>
      <c r="AL66">
        <v>24526.839</v>
      </c>
    </row>
    <row r="67" spans="1:38" x14ac:dyDescent="0.2">
      <c r="A67">
        <v>186</v>
      </c>
      <c r="B67" t="s">
        <v>25</v>
      </c>
      <c r="C67">
        <v>21933.754199522762</v>
      </c>
      <c r="D67" t="s">
        <v>3</v>
      </c>
      <c r="E67" t="s">
        <v>27</v>
      </c>
      <c r="G67">
        <v>186</v>
      </c>
      <c r="H67" t="s">
        <v>25</v>
      </c>
      <c r="I67">
        <v>21933.754199999999</v>
      </c>
      <c r="J67" t="s">
        <v>3</v>
      </c>
      <c r="K67" t="s">
        <v>27</v>
      </c>
      <c r="M67" t="s">
        <v>90</v>
      </c>
      <c r="AE67" t="s">
        <v>25</v>
      </c>
      <c r="AF67" t="s">
        <v>91</v>
      </c>
      <c r="AG67" t="s">
        <v>226</v>
      </c>
      <c r="AL67">
        <v>9658.9490000000005</v>
      </c>
    </row>
    <row r="68" spans="1:38" x14ac:dyDescent="0.2">
      <c r="A68">
        <v>189</v>
      </c>
      <c r="B68" t="s">
        <v>35</v>
      </c>
      <c r="C68">
        <v>14637.762909892937</v>
      </c>
      <c r="D68" t="s">
        <v>3</v>
      </c>
      <c r="E68" t="s">
        <v>27</v>
      </c>
      <c r="G68">
        <v>189</v>
      </c>
      <c r="H68" t="s">
        <v>35</v>
      </c>
      <c r="I68">
        <v>14637.762909999999</v>
      </c>
      <c r="J68" t="s">
        <v>3</v>
      </c>
      <c r="K68" t="s">
        <v>27</v>
      </c>
      <c r="M68" t="s">
        <v>69</v>
      </c>
      <c r="N68">
        <v>17286.382000000001</v>
      </c>
      <c r="AE68" t="s">
        <v>35</v>
      </c>
      <c r="AF68" t="s">
        <v>91</v>
      </c>
      <c r="AG68" t="s">
        <v>226</v>
      </c>
      <c r="AL68">
        <v>7059.5609999999997</v>
      </c>
    </row>
    <row r="69" spans="1:38" x14ac:dyDescent="0.2">
      <c r="A69">
        <v>190</v>
      </c>
      <c r="B69" t="s">
        <v>29</v>
      </c>
      <c r="C69">
        <v>15674.129689516589</v>
      </c>
      <c r="D69" t="s">
        <v>3</v>
      </c>
      <c r="E69" t="s">
        <v>27</v>
      </c>
      <c r="G69">
        <v>190</v>
      </c>
      <c r="H69" t="s">
        <v>29</v>
      </c>
      <c r="I69">
        <v>15674.12969</v>
      </c>
      <c r="J69" t="s">
        <v>3</v>
      </c>
      <c r="K69" t="s">
        <v>27</v>
      </c>
      <c r="M69" t="s">
        <v>92</v>
      </c>
      <c r="N69">
        <v>4561.6369000000004</v>
      </c>
    </row>
    <row r="70" spans="1:38" x14ac:dyDescent="0.2">
      <c r="A70">
        <v>192</v>
      </c>
      <c r="B70" t="s">
        <v>29</v>
      </c>
      <c r="C70" s="23">
        <v>130115.49053779407</v>
      </c>
      <c r="D70" t="s">
        <v>3</v>
      </c>
      <c r="E70" t="s">
        <v>33</v>
      </c>
      <c r="G70">
        <v>192</v>
      </c>
      <c r="H70" t="s">
        <v>29</v>
      </c>
      <c r="J70" t="s">
        <v>3</v>
      </c>
      <c r="K70" t="s">
        <v>33</v>
      </c>
      <c r="M70" t="s">
        <v>93</v>
      </c>
      <c r="N70">
        <v>951.16704000000004</v>
      </c>
      <c r="T70" t="s">
        <v>222</v>
      </c>
    </row>
    <row r="71" spans="1:38" x14ac:dyDescent="0.2">
      <c r="A71">
        <v>193</v>
      </c>
      <c r="B71" t="s">
        <v>25</v>
      </c>
      <c r="C71">
        <v>14987.771152915811</v>
      </c>
      <c r="D71" t="s">
        <v>3</v>
      </c>
      <c r="E71" t="s">
        <v>33</v>
      </c>
      <c r="G71">
        <v>193</v>
      </c>
      <c r="H71" t="s">
        <v>25</v>
      </c>
      <c r="I71">
        <v>14987.77115</v>
      </c>
      <c r="J71" t="s">
        <v>3</v>
      </c>
      <c r="K71" t="s">
        <v>33</v>
      </c>
      <c r="M71" t="s">
        <v>94</v>
      </c>
      <c r="N71">
        <v>19258.982</v>
      </c>
      <c r="AE71" t="s">
        <v>174</v>
      </c>
    </row>
    <row r="72" spans="1:38" x14ac:dyDescent="0.2">
      <c r="A72">
        <v>194</v>
      </c>
      <c r="B72" t="s">
        <v>29</v>
      </c>
      <c r="C72">
        <v>3358.4257513428879</v>
      </c>
      <c r="D72" t="s">
        <v>2</v>
      </c>
      <c r="E72" t="s">
        <v>33</v>
      </c>
      <c r="G72">
        <v>194</v>
      </c>
      <c r="H72" t="s">
        <v>29</v>
      </c>
      <c r="I72">
        <v>3358.4257510000002</v>
      </c>
      <c r="J72" t="s">
        <v>2</v>
      </c>
      <c r="K72" t="s">
        <v>33</v>
      </c>
      <c r="M72" t="s">
        <v>95</v>
      </c>
      <c r="N72">
        <v>15313.781999999999</v>
      </c>
      <c r="T72" t="s">
        <v>107</v>
      </c>
    </row>
    <row r="73" spans="1:38" x14ac:dyDescent="0.2">
      <c r="A73">
        <v>195</v>
      </c>
      <c r="B73" t="s">
        <v>29</v>
      </c>
      <c r="C73">
        <v>80719.609317541428</v>
      </c>
      <c r="D73" t="s">
        <v>3</v>
      </c>
      <c r="E73" t="s">
        <v>33</v>
      </c>
      <c r="G73">
        <v>195</v>
      </c>
      <c r="H73" t="s">
        <v>29</v>
      </c>
      <c r="I73">
        <v>80719.609320000003</v>
      </c>
      <c r="J73" t="s">
        <v>3</v>
      </c>
      <c r="K73" t="s">
        <v>33</v>
      </c>
      <c r="M73" t="s">
        <v>96</v>
      </c>
      <c r="N73">
        <v>23</v>
      </c>
      <c r="T73">
        <v>5</v>
      </c>
    </row>
    <row r="74" spans="1:38" x14ac:dyDescent="0.2">
      <c r="A74">
        <v>199</v>
      </c>
      <c r="B74" t="s">
        <v>29</v>
      </c>
      <c r="C74">
        <v>2386.4492380067832</v>
      </c>
      <c r="D74" t="s">
        <v>2</v>
      </c>
      <c r="E74" t="s">
        <v>33</v>
      </c>
      <c r="G74">
        <v>199</v>
      </c>
      <c r="H74" t="s">
        <v>29</v>
      </c>
      <c r="I74">
        <v>2386.4492380000002</v>
      </c>
      <c r="J74" t="s">
        <v>2</v>
      </c>
      <c r="K74" t="s">
        <v>33</v>
      </c>
    </row>
    <row r="75" spans="1:38" x14ac:dyDescent="0.2">
      <c r="A75">
        <v>201</v>
      </c>
      <c r="B75" t="s">
        <v>29</v>
      </c>
      <c r="C75">
        <v>16805.84295637588</v>
      </c>
      <c r="D75" t="s">
        <v>3</v>
      </c>
      <c r="E75" t="s">
        <v>27</v>
      </c>
      <c r="G75">
        <v>201</v>
      </c>
      <c r="H75" t="s">
        <v>29</v>
      </c>
      <c r="I75">
        <v>16805.842960000002</v>
      </c>
      <c r="J75" t="s">
        <v>3</v>
      </c>
      <c r="K75" t="s">
        <v>27</v>
      </c>
      <c r="M75" t="s">
        <v>97</v>
      </c>
      <c r="AE75" t="s">
        <v>175</v>
      </c>
    </row>
    <row r="76" spans="1:38" x14ac:dyDescent="0.2">
      <c r="A76">
        <v>202</v>
      </c>
      <c r="B76" t="s">
        <v>35</v>
      </c>
      <c r="C76">
        <v>960.15837793844651</v>
      </c>
      <c r="D76" t="s">
        <v>2</v>
      </c>
      <c r="E76" t="s">
        <v>27</v>
      </c>
      <c r="G76">
        <v>202</v>
      </c>
      <c r="H76" t="s">
        <v>35</v>
      </c>
      <c r="I76">
        <v>960.1583779</v>
      </c>
      <c r="J76" t="s">
        <v>2</v>
      </c>
      <c r="K76" t="s">
        <v>27</v>
      </c>
      <c r="M76" t="s">
        <v>98</v>
      </c>
      <c r="T76" t="s">
        <v>193</v>
      </c>
    </row>
    <row r="77" spans="1:38" x14ac:dyDescent="0.2">
      <c r="A77">
        <v>205</v>
      </c>
      <c r="B77" t="s">
        <v>25</v>
      </c>
      <c r="C77">
        <v>2874.0503003785948</v>
      </c>
      <c r="D77" t="s">
        <v>2</v>
      </c>
      <c r="E77" t="s">
        <v>33</v>
      </c>
      <c r="G77">
        <v>205</v>
      </c>
      <c r="H77" t="s">
        <v>25</v>
      </c>
      <c r="I77">
        <v>2874.0502999999999</v>
      </c>
      <c r="J77" t="s">
        <v>2</v>
      </c>
      <c r="K77" t="s">
        <v>33</v>
      </c>
      <c r="M77" t="s">
        <v>99</v>
      </c>
      <c r="AE77" t="s">
        <v>158</v>
      </c>
      <c r="AF77" t="s">
        <v>176</v>
      </c>
      <c r="AG77" t="s">
        <v>111</v>
      </c>
      <c r="AH77" t="s">
        <v>113</v>
      </c>
      <c r="AI77" t="s">
        <v>177</v>
      </c>
      <c r="AJ77" t="s">
        <v>178</v>
      </c>
      <c r="AK77" t="s">
        <v>179</v>
      </c>
      <c r="AL77" t="s">
        <v>180</v>
      </c>
    </row>
    <row r="78" spans="1:38" x14ac:dyDescent="0.2">
      <c r="A78">
        <v>208</v>
      </c>
      <c r="B78" t="s">
        <v>29</v>
      </c>
      <c r="C78">
        <v>42802.36940384144</v>
      </c>
      <c r="D78" t="s">
        <v>3</v>
      </c>
      <c r="E78" t="s">
        <v>33</v>
      </c>
      <c r="G78">
        <v>208</v>
      </c>
      <c r="H78" t="s">
        <v>29</v>
      </c>
      <c r="I78">
        <v>42802.369400000003</v>
      </c>
      <c r="J78" t="s">
        <v>3</v>
      </c>
      <c r="K78" t="s">
        <v>33</v>
      </c>
      <c r="M78" t="s">
        <v>35</v>
      </c>
      <c r="N78" t="s">
        <v>91</v>
      </c>
      <c r="O78" t="s">
        <v>100</v>
      </c>
      <c r="T78" t="s">
        <v>158</v>
      </c>
      <c r="U78" t="s">
        <v>82</v>
      </c>
      <c r="V78" t="s">
        <v>194</v>
      </c>
      <c r="W78" t="s">
        <v>195</v>
      </c>
      <c r="X78" t="s">
        <v>196</v>
      </c>
      <c r="Y78" t="s">
        <v>197</v>
      </c>
      <c r="AE78" t="s">
        <v>29</v>
      </c>
      <c r="AF78" t="s">
        <v>35</v>
      </c>
      <c r="AG78">
        <v>17467.28</v>
      </c>
      <c r="AH78">
        <v>3352.9490000000001</v>
      </c>
      <c r="AI78">
        <v>9533.5499999999993</v>
      </c>
      <c r="AJ78">
        <v>25401.01</v>
      </c>
      <c r="AK78" t="s">
        <v>123</v>
      </c>
      <c r="AL78" t="s">
        <v>235</v>
      </c>
    </row>
    <row r="79" spans="1:38" x14ac:dyDescent="0.2">
      <c r="A79">
        <v>209</v>
      </c>
      <c r="B79" t="s">
        <v>25</v>
      </c>
      <c r="C79">
        <v>12019.069406024275</v>
      </c>
      <c r="D79" t="s">
        <v>3</v>
      </c>
      <c r="E79" t="s">
        <v>33</v>
      </c>
      <c r="G79">
        <v>209</v>
      </c>
      <c r="H79" t="s">
        <v>25</v>
      </c>
      <c r="I79">
        <v>12019.06941</v>
      </c>
      <c r="J79" t="s">
        <v>3</v>
      </c>
      <c r="K79" t="s">
        <v>33</v>
      </c>
      <c r="M79">
        <v>0.94504500000000002</v>
      </c>
      <c r="N79" t="s">
        <v>91</v>
      </c>
      <c r="O79">
        <v>0.2303</v>
      </c>
      <c r="T79" t="s">
        <v>2</v>
      </c>
      <c r="U79">
        <v>24</v>
      </c>
      <c r="V79">
        <v>300</v>
      </c>
      <c r="W79">
        <v>576</v>
      </c>
      <c r="X79">
        <v>12.5</v>
      </c>
      <c r="Y79">
        <v>-5.8630000000000004</v>
      </c>
      <c r="AE79" t="s">
        <v>29</v>
      </c>
      <c r="AF79" t="s">
        <v>25</v>
      </c>
      <c r="AG79">
        <v>14867.89</v>
      </c>
      <c r="AH79">
        <v>3374.3009999999999</v>
      </c>
      <c r="AI79">
        <v>6883.64</v>
      </c>
      <c r="AJ79">
        <v>22852.14</v>
      </c>
      <c r="AK79" t="s">
        <v>123</v>
      </c>
      <c r="AL79" t="s">
        <v>236</v>
      </c>
    </row>
    <row r="80" spans="1:38" x14ac:dyDescent="0.2">
      <c r="A80">
        <v>211</v>
      </c>
      <c r="B80" t="s">
        <v>29</v>
      </c>
      <c r="C80">
        <v>14565.537236637978</v>
      </c>
      <c r="D80" t="s">
        <v>3</v>
      </c>
      <c r="E80" t="s">
        <v>27</v>
      </c>
      <c r="G80">
        <v>211</v>
      </c>
      <c r="H80" t="s">
        <v>29</v>
      </c>
      <c r="I80">
        <v>14565.53724</v>
      </c>
      <c r="J80" t="s">
        <v>3</v>
      </c>
      <c r="K80" t="s">
        <v>27</v>
      </c>
      <c r="T80" t="s">
        <v>3</v>
      </c>
      <c r="U80">
        <v>23</v>
      </c>
      <c r="V80">
        <v>828</v>
      </c>
      <c r="W80">
        <v>552</v>
      </c>
      <c r="X80">
        <v>36</v>
      </c>
      <c r="Y80">
        <v>5.8630000000000004</v>
      </c>
      <c r="AE80" t="s">
        <v>25</v>
      </c>
      <c r="AF80" t="s">
        <v>35</v>
      </c>
      <c r="AG80">
        <v>2599.39</v>
      </c>
      <c r="AH80">
        <v>3654.8919999999998</v>
      </c>
      <c r="AI80">
        <v>-6048.8</v>
      </c>
      <c r="AJ80">
        <v>11247.57</v>
      </c>
      <c r="AK80">
        <v>0.75719999999999998</v>
      </c>
      <c r="AL80" t="s">
        <v>234</v>
      </c>
    </row>
    <row r="81" spans="1:22" x14ac:dyDescent="0.2">
      <c r="A81">
        <v>212</v>
      </c>
      <c r="B81" t="s">
        <v>25</v>
      </c>
      <c r="C81">
        <v>864.67131542713526</v>
      </c>
      <c r="D81" t="s">
        <v>2</v>
      </c>
      <c r="E81" t="s">
        <v>27</v>
      </c>
      <c r="G81">
        <v>212</v>
      </c>
      <c r="H81" t="s">
        <v>25</v>
      </c>
      <c r="I81">
        <v>864.67131540000003</v>
      </c>
      <c r="J81" t="s">
        <v>2</v>
      </c>
      <c r="K81" t="s">
        <v>27</v>
      </c>
    </row>
    <row r="82" spans="1:22" x14ac:dyDescent="0.2">
      <c r="A82">
        <v>213</v>
      </c>
      <c r="B82" t="s">
        <v>29</v>
      </c>
      <c r="C82">
        <v>43576.246245326336</v>
      </c>
      <c r="D82" t="s">
        <v>3</v>
      </c>
      <c r="E82" t="s">
        <v>33</v>
      </c>
      <c r="G82">
        <v>213</v>
      </c>
      <c r="H82" t="s">
        <v>29</v>
      </c>
      <c r="I82">
        <v>43576.246249999997</v>
      </c>
      <c r="J82" t="s">
        <v>3</v>
      </c>
      <c r="K82" t="s">
        <v>33</v>
      </c>
      <c r="M82" t="s">
        <v>104</v>
      </c>
    </row>
    <row r="83" spans="1:22" x14ac:dyDescent="0.2">
      <c r="A83">
        <v>216</v>
      </c>
      <c r="B83" t="s">
        <v>35</v>
      </c>
      <c r="C83">
        <v>11568.089030513362</v>
      </c>
      <c r="D83" t="s">
        <v>3</v>
      </c>
      <c r="E83" t="s">
        <v>27</v>
      </c>
      <c r="G83">
        <v>216</v>
      </c>
      <c r="H83" t="s">
        <v>35</v>
      </c>
      <c r="I83">
        <v>11568.089029999999</v>
      </c>
      <c r="J83" t="s">
        <v>3</v>
      </c>
      <c r="K83" t="s">
        <v>27</v>
      </c>
      <c r="M83" t="s">
        <v>20</v>
      </c>
    </row>
    <row r="84" spans="1:22" x14ac:dyDescent="0.2">
      <c r="A84">
        <v>217</v>
      </c>
      <c r="B84" t="s">
        <v>25</v>
      </c>
      <c r="C84">
        <v>988.67609728681339</v>
      </c>
      <c r="D84" t="s">
        <v>2</v>
      </c>
      <c r="E84" t="s">
        <v>33</v>
      </c>
      <c r="G84">
        <v>217</v>
      </c>
      <c r="H84" t="s">
        <v>25</v>
      </c>
      <c r="I84">
        <v>988.67609730000004</v>
      </c>
      <c r="J84" t="s">
        <v>2</v>
      </c>
      <c r="K84" t="s">
        <v>33</v>
      </c>
      <c r="M84" t="s">
        <v>185</v>
      </c>
    </row>
    <row r="85" spans="1:22" x14ac:dyDescent="0.2">
      <c r="A85">
        <v>218</v>
      </c>
      <c r="B85" t="s">
        <v>29</v>
      </c>
      <c r="C85">
        <v>49843.248999307776</v>
      </c>
      <c r="D85" t="s">
        <v>3</v>
      </c>
      <c r="E85" t="s">
        <v>33</v>
      </c>
      <c r="G85">
        <v>218</v>
      </c>
      <c r="H85" t="s">
        <v>29</v>
      </c>
      <c r="I85">
        <v>49843.249000000003</v>
      </c>
      <c r="J85" t="s">
        <v>3</v>
      </c>
      <c r="K85" t="s">
        <v>33</v>
      </c>
      <c r="T85" t="s">
        <v>203</v>
      </c>
    </row>
    <row r="86" spans="1:22" x14ac:dyDescent="0.2">
      <c r="A86">
        <v>219</v>
      </c>
      <c r="B86" t="s">
        <v>29</v>
      </c>
      <c r="C86">
        <v>1087.8039850346918</v>
      </c>
      <c r="D86" t="s">
        <v>2</v>
      </c>
      <c r="E86" t="s">
        <v>33</v>
      </c>
      <c r="G86">
        <v>219</v>
      </c>
      <c r="H86" t="s">
        <v>29</v>
      </c>
      <c r="I86">
        <v>1087.803985</v>
      </c>
      <c r="J86" t="s">
        <v>2</v>
      </c>
      <c r="K86" t="s">
        <v>33</v>
      </c>
      <c r="M86" t="s">
        <v>90</v>
      </c>
    </row>
    <row r="87" spans="1:22" x14ac:dyDescent="0.2">
      <c r="A87">
        <v>220</v>
      </c>
      <c r="B87" t="s">
        <v>25</v>
      </c>
      <c r="C87">
        <v>813.06319166777791</v>
      </c>
      <c r="D87" t="s">
        <v>2</v>
      </c>
      <c r="E87" t="s">
        <v>27</v>
      </c>
      <c r="G87">
        <v>220</v>
      </c>
      <c r="H87" t="s">
        <v>25</v>
      </c>
      <c r="I87">
        <v>813.06319169999995</v>
      </c>
      <c r="J87" t="s">
        <v>2</v>
      </c>
      <c r="K87" t="s">
        <v>27</v>
      </c>
      <c r="M87" t="s">
        <v>69</v>
      </c>
      <c r="N87">
        <v>1847.6918000000001</v>
      </c>
      <c r="T87" t="s">
        <v>204</v>
      </c>
      <c r="U87" t="s">
        <v>205</v>
      </c>
      <c r="V87" t="s">
        <v>206</v>
      </c>
    </row>
    <row r="88" spans="1:22" x14ac:dyDescent="0.2">
      <c r="A88">
        <v>224</v>
      </c>
      <c r="B88" t="s">
        <v>25</v>
      </c>
      <c r="C88">
        <v>1919.781239993162</v>
      </c>
      <c r="D88" t="s">
        <v>2</v>
      </c>
      <c r="E88" t="s">
        <v>27</v>
      </c>
      <c r="G88">
        <v>224</v>
      </c>
      <c r="H88" t="s">
        <v>25</v>
      </c>
      <c r="I88">
        <v>1919.78124</v>
      </c>
      <c r="J88" t="s">
        <v>2</v>
      </c>
      <c r="K88" t="s">
        <v>27</v>
      </c>
      <c r="M88" t="s">
        <v>92</v>
      </c>
      <c r="N88">
        <v>957.10306000000003</v>
      </c>
      <c r="T88">
        <v>828</v>
      </c>
      <c r="U88">
        <v>5.8632</v>
      </c>
      <c r="V88" t="s">
        <v>123</v>
      </c>
    </row>
    <row r="89" spans="1:22" x14ac:dyDescent="0.2">
      <c r="A89">
        <v>225</v>
      </c>
      <c r="B89" t="s">
        <v>29</v>
      </c>
      <c r="C89">
        <v>38103.780065537183</v>
      </c>
      <c r="D89" t="s">
        <v>3</v>
      </c>
      <c r="E89" t="s">
        <v>33</v>
      </c>
      <c r="G89">
        <v>225</v>
      </c>
      <c r="H89" t="s">
        <v>29</v>
      </c>
      <c r="I89">
        <v>38103.780070000001</v>
      </c>
      <c r="J89" t="s">
        <v>3</v>
      </c>
      <c r="K89" t="s">
        <v>33</v>
      </c>
      <c r="M89" t="s">
        <v>93</v>
      </c>
      <c r="N89">
        <v>195.36784</v>
      </c>
    </row>
    <row r="90" spans="1:22" x14ac:dyDescent="0.2">
      <c r="A90">
        <v>229</v>
      </c>
      <c r="B90" t="s">
        <v>29</v>
      </c>
      <c r="C90">
        <v>2301.1255502666809</v>
      </c>
      <c r="D90" t="s">
        <v>2</v>
      </c>
      <c r="E90" t="s">
        <v>27</v>
      </c>
      <c r="G90">
        <v>229</v>
      </c>
      <c r="H90" t="s">
        <v>29</v>
      </c>
      <c r="I90">
        <v>2301.1255500000002</v>
      </c>
      <c r="J90" t="s">
        <v>2</v>
      </c>
      <c r="K90" t="s">
        <v>27</v>
      </c>
      <c r="M90" t="s">
        <v>94</v>
      </c>
      <c r="N90">
        <v>2251.8409999999999</v>
      </c>
    </row>
    <row r="91" spans="1:22" x14ac:dyDescent="0.2">
      <c r="A91">
        <v>230</v>
      </c>
      <c r="B91" t="s">
        <v>29</v>
      </c>
      <c r="C91">
        <v>41891.71155830002</v>
      </c>
      <c r="D91" t="s">
        <v>3</v>
      </c>
      <c r="E91" t="s">
        <v>33</v>
      </c>
      <c r="G91">
        <v>230</v>
      </c>
      <c r="H91" t="s">
        <v>29</v>
      </c>
      <c r="I91">
        <v>41891.711560000003</v>
      </c>
      <c r="J91" t="s">
        <v>3</v>
      </c>
      <c r="K91" t="s">
        <v>33</v>
      </c>
      <c r="M91" t="s">
        <v>95</v>
      </c>
      <c r="N91">
        <v>1443.5426</v>
      </c>
    </row>
    <row r="92" spans="1:22" x14ac:dyDescent="0.2">
      <c r="A92">
        <v>233</v>
      </c>
      <c r="B92" t="s">
        <v>35</v>
      </c>
      <c r="C92">
        <v>13265.097971421466</v>
      </c>
      <c r="D92" t="s">
        <v>3</v>
      </c>
      <c r="E92" t="s">
        <v>27</v>
      </c>
      <c r="G92">
        <v>233</v>
      </c>
      <c r="H92" t="s">
        <v>35</v>
      </c>
      <c r="I92">
        <v>13265.097970000001</v>
      </c>
      <c r="J92" t="s">
        <v>3</v>
      </c>
      <c r="K92" t="s">
        <v>27</v>
      </c>
      <c r="M92" t="s">
        <v>96</v>
      </c>
      <c r="N92">
        <v>24</v>
      </c>
    </row>
    <row r="93" spans="1:22" x14ac:dyDescent="0.2">
      <c r="A93" s="10">
        <v>234</v>
      </c>
      <c r="B93" s="10" t="s">
        <v>29</v>
      </c>
      <c r="C93" s="10">
        <v>42477.737790691754</v>
      </c>
      <c r="D93" s="10" t="s">
        <v>3</v>
      </c>
      <c r="E93" s="10" t="s">
        <v>33</v>
      </c>
      <c r="G93">
        <v>234</v>
      </c>
      <c r="H93" t="s">
        <v>29</v>
      </c>
      <c r="I93">
        <v>42477.737789999999</v>
      </c>
      <c r="J93" t="s">
        <v>3</v>
      </c>
      <c r="K93" s="10" t="s">
        <v>33</v>
      </c>
      <c r="T93" t="s">
        <v>198</v>
      </c>
    </row>
    <row r="94" spans="1:22" x14ac:dyDescent="0.2">
      <c r="A94">
        <v>235</v>
      </c>
      <c r="B94" t="s">
        <v>35</v>
      </c>
      <c r="C94">
        <v>11704.669717197508</v>
      </c>
      <c r="D94" t="s">
        <v>3</v>
      </c>
      <c r="E94" t="s">
        <v>27</v>
      </c>
      <c r="G94">
        <v>235</v>
      </c>
      <c r="H94" t="s">
        <v>35</v>
      </c>
      <c r="I94">
        <v>11704.66972</v>
      </c>
      <c r="J94" t="s">
        <v>3</v>
      </c>
      <c r="K94" t="s">
        <v>27</v>
      </c>
      <c r="M94" t="s">
        <v>97</v>
      </c>
      <c r="N94" t="s">
        <v>91</v>
      </c>
    </row>
    <row r="95" spans="1:22" x14ac:dyDescent="0.2">
      <c r="A95">
        <v>236</v>
      </c>
      <c r="B95" t="s">
        <v>35</v>
      </c>
      <c r="C95" s="23">
        <v>40564.359245331922</v>
      </c>
      <c r="D95" t="s">
        <v>3</v>
      </c>
      <c r="E95" t="s">
        <v>27</v>
      </c>
      <c r="G95">
        <v>236</v>
      </c>
      <c r="H95" t="s">
        <v>35</v>
      </c>
      <c r="J95" t="s">
        <v>3</v>
      </c>
      <c r="K95" t="s">
        <v>27</v>
      </c>
      <c r="M95" t="s">
        <v>98</v>
      </c>
      <c r="T95" t="s">
        <v>199</v>
      </c>
      <c r="U95" t="s">
        <v>114</v>
      </c>
      <c r="V95" t="s">
        <v>200</v>
      </c>
    </row>
    <row r="96" spans="1:22" x14ac:dyDescent="0.2">
      <c r="A96">
        <v>244</v>
      </c>
      <c r="B96" t="s">
        <v>29</v>
      </c>
      <c r="C96">
        <v>40735.878508068461</v>
      </c>
      <c r="D96" t="s">
        <v>3</v>
      </c>
      <c r="E96" t="s">
        <v>33</v>
      </c>
      <c r="G96">
        <v>244</v>
      </c>
      <c r="H96" t="s">
        <v>29</v>
      </c>
      <c r="I96">
        <v>40735.878510000002</v>
      </c>
      <c r="J96" t="s">
        <v>3</v>
      </c>
      <c r="K96" t="s">
        <v>33</v>
      </c>
      <c r="M96" t="s">
        <v>99</v>
      </c>
      <c r="T96">
        <v>34.502000000000002</v>
      </c>
      <c r="U96">
        <v>1</v>
      </c>
      <c r="V96" s="23" t="s">
        <v>123</v>
      </c>
    </row>
    <row r="97" spans="1:33" x14ac:dyDescent="0.2">
      <c r="A97">
        <v>245</v>
      </c>
      <c r="B97" t="s">
        <v>25</v>
      </c>
      <c r="C97">
        <v>17399.691735101911</v>
      </c>
      <c r="D97" t="s">
        <v>3</v>
      </c>
      <c r="E97" t="s">
        <v>27</v>
      </c>
      <c r="G97">
        <v>245</v>
      </c>
      <c r="H97" t="s">
        <v>25</v>
      </c>
      <c r="I97">
        <v>17399.691739999998</v>
      </c>
      <c r="J97" t="s">
        <v>3</v>
      </c>
      <c r="K97" t="s">
        <v>27</v>
      </c>
      <c r="M97" t="s">
        <v>35</v>
      </c>
      <c r="N97" t="s">
        <v>91</v>
      </c>
      <c r="O97" t="s">
        <v>100</v>
      </c>
    </row>
    <row r="98" spans="1:33" x14ac:dyDescent="0.2">
      <c r="A98">
        <v>248</v>
      </c>
      <c r="B98" t="s">
        <v>29</v>
      </c>
      <c r="C98">
        <v>82173.436325183065</v>
      </c>
      <c r="D98" t="s">
        <v>3</v>
      </c>
      <c r="E98" t="s">
        <v>33</v>
      </c>
      <c r="G98">
        <v>248</v>
      </c>
      <c r="H98" t="s">
        <v>29</v>
      </c>
      <c r="I98">
        <v>82173.436329999997</v>
      </c>
      <c r="J98" t="s">
        <v>3</v>
      </c>
      <c r="K98" t="s">
        <v>33</v>
      </c>
      <c r="M98">
        <v>0.90800199999999998</v>
      </c>
      <c r="N98" t="s">
        <v>91</v>
      </c>
      <c r="O98">
        <v>3.1899999999999998E-2</v>
      </c>
    </row>
    <row r="99" spans="1:33" x14ac:dyDescent="0.2">
      <c r="A99">
        <v>251</v>
      </c>
      <c r="B99" t="s">
        <v>29</v>
      </c>
      <c r="C99">
        <v>727.76506811429533</v>
      </c>
      <c r="D99" t="s">
        <v>2</v>
      </c>
      <c r="E99" t="s">
        <v>33</v>
      </c>
      <c r="G99">
        <v>251</v>
      </c>
      <c r="H99" t="s">
        <v>29</v>
      </c>
      <c r="I99">
        <v>727.76506810000001</v>
      </c>
      <c r="J99" t="s">
        <v>2</v>
      </c>
      <c r="K99" t="s">
        <v>33</v>
      </c>
    </row>
    <row r="100" spans="1:33" x14ac:dyDescent="0.2">
      <c r="A100">
        <v>252</v>
      </c>
      <c r="B100" t="s">
        <v>35</v>
      </c>
      <c r="C100">
        <v>228.94119744029166</v>
      </c>
      <c r="D100" t="s">
        <v>2</v>
      </c>
      <c r="E100" t="s">
        <v>27</v>
      </c>
      <c r="G100">
        <v>252</v>
      </c>
      <c r="H100" t="s">
        <v>35</v>
      </c>
      <c r="I100">
        <v>228.94119739999999</v>
      </c>
      <c r="J100" t="s">
        <v>2</v>
      </c>
      <c r="K100" t="s">
        <v>27</v>
      </c>
    </row>
    <row r="101" spans="1:33" x14ac:dyDescent="0.2">
      <c r="A101">
        <v>253</v>
      </c>
      <c r="B101" t="s">
        <v>35</v>
      </c>
      <c r="C101">
        <v>2923.20631891844</v>
      </c>
      <c r="D101" t="s">
        <v>2</v>
      </c>
      <c r="E101" t="s">
        <v>27</v>
      </c>
      <c r="G101">
        <v>253</v>
      </c>
      <c r="H101" t="s">
        <v>35</v>
      </c>
      <c r="I101">
        <v>2923.2063189999999</v>
      </c>
      <c r="J101" t="s">
        <v>2</v>
      </c>
      <c r="K101" t="s">
        <v>27</v>
      </c>
      <c r="M101" t="s">
        <v>105</v>
      </c>
      <c r="AF101" t="s">
        <v>89</v>
      </c>
    </row>
    <row r="102" spans="1:33" x14ac:dyDescent="0.2">
      <c r="A102">
        <v>261</v>
      </c>
      <c r="B102" t="s">
        <v>25</v>
      </c>
      <c r="C102">
        <v>909.31012166618837</v>
      </c>
      <c r="D102" t="s">
        <v>2</v>
      </c>
      <c r="E102" t="s">
        <v>27</v>
      </c>
      <c r="G102">
        <v>261</v>
      </c>
      <c r="H102" t="s">
        <v>25</v>
      </c>
      <c r="I102">
        <v>909.31012169999997</v>
      </c>
      <c r="J102" t="s">
        <v>2</v>
      </c>
      <c r="K102" t="s">
        <v>27</v>
      </c>
      <c r="M102" t="s">
        <v>20</v>
      </c>
    </row>
    <row r="103" spans="1:33" x14ac:dyDescent="0.2">
      <c r="A103">
        <v>262</v>
      </c>
      <c r="B103" t="s">
        <v>35</v>
      </c>
      <c r="C103">
        <v>15002.47465528823</v>
      </c>
      <c r="D103" t="s">
        <v>3</v>
      </c>
      <c r="E103" t="s">
        <v>27</v>
      </c>
      <c r="G103">
        <v>262</v>
      </c>
      <c r="H103" t="s">
        <v>35</v>
      </c>
      <c r="I103">
        <v>15002.47466</v>
      </c>
      <c r="J103" t="s">
        <v>3</v>
      </c>
      <c r="K103" t="s">
        <v>27</v>
      </c>
      <c r="M103" t="s">
        <v>186</v>
      </c>
    </row>
    <row r="104" spans="1:33" x14ac:dyDescent="0.2">
      <c r="A104">
        <v>265</v>
      </c>
      <c r="B104" t="s">
        <v>25</v>
      </c>
      <c r="C104">
        <v>27391.349473509777</v>
      </c>
      <c r="D104" t="s">
        <v>3</v>
      </c>
      <c r="E104" t="s">
        <v>33</v>
      </c>
      <c r="G104">
        <v>265</v>
      </c>
      <c r="H104" t="s">
        <v>25</v>
      </c>
      <c r="I104">
        <v>27391.349470000001</v>
      </c>
      <c r="J104" t="s">
        <v>3</v>
      </c>
      <c r="K104" t="s">
        <v>33</v>
      </c>
      <c r="AF104" t="s">
        <v>20</v>
      </c>
    </row>
    <row r="105" spans="1:33" x14ac:dyDescent="0.2">
      <c r="A105">
        <v>266</v>
      </c>
      <c r="B105" t="s">
        <v>25</v>
      </c>
      <c r="C105">
        <v>3412.9445942061184</v>
      </c>
      <c r="D105" t="s">
        <v>2</v>
      </c>
      <c r="E105" t="s">
        <v>33</v>
      </c>
      <c r="G105">
        <v>266</v>
      </c>
      <c r="H105" t="s">
        <v>25</v>
      </c>
      <c r="I105">
        <v>3412.9445940000001</v>
      </c>
      <c r="J105" t="s">
        <v>2</v>
      </c>
      <c r="K105" t="s">
        <v>33</v>
      </c>
      <c r="M105" t="s">
        <v>90</v>
      </c>
    </row>
    <row r="106" spans="1:33" x14ac:dyDescent="0.2">
      <c r="A106">
        <v>267</v>
      </c>
      <c r="B106" t="s">
        <v>25</v>
      </c>
      <c r="C106">
        <v>18782.377985001189</v>
      </c>
      <c r="D106" t="s">
        <v>3</v>
      </c>
      <c r="E106" t="s">
        <v>33</v>
      </c>
      <c r="G106">
        <v>267</v>
      </c>
      <c r="H106" t="s">
        <v>25</v>
      </c>
      <c r="I106">
        <v>18782.377990000001</v>
      </c>
      <c r="J106" t="s">
        <v>3</v>
      </c>
      <c r="K106" t="s">
        <v>33</v>
      </c>
      <c r="M106" t="s">
        <v>69</v>
      </c>
      <c r="N106">
        <v>12498.032999999999</v>
      </c>
    </row>
    <row r="107" spans="1:33" x14ac:dyDescent="0.2">
      <c r="A107">
        <v>268</v>
      </c>
      <c r="B107" t="s">
        <v>29</v>
      </c>
      <c r="C107">
        <v>4328.5463876684407</v>
      </c>
      <c r="D107" t="s">
        <v>2</v>
      </c>
      <c r="E107" t="s">
        <v>27</v>
      </c>
      <c r="G107">
        <v>268</v>
      </c>
      <c r="H107" t="s">
        <v>29</v>
      </c>
      <c r="I107">
        <v>4328.5463879999998</v>
      </c>
      <c r="J107" t="s">
        <v>2</v>
      </c>
      <c r="K107" t="s">
        <v>27</v>
      </c>
      <c r="M107" t="s">
        <v>92</v>
      </c>
      <c r="N107">
        <v>3181.9593</v>
      </c>
    </row>
    <row r="108" spans="1:33" x14ac:dyDescent="0.2">
      <c r="A108">
        <v>269</v>
      </c>
      <c r="B108" t="s">
        <v>29</v>
      </c>
      <c r="C108">
        <v>68641.973168407683</v>
      </c>
      <c r="D108" t="s">
        <v>3</v>
      </c>
      <c r="E108" t="s">
        <v>33</v>
      </c>
      <c r="G108">
        <v>269</v>
      </c>
      <c r="H108" t="s">
        <v>29</v>
      </c>
      <c r="I108">
        <v>68641.973169999997</v>
      </c>
      <c r="J108" t="s">
        <v>3</v>
      </c>
      <c r="K108" t="s">
        <v>33</v>
      </c>
      <c r="M108" t="s">
        <v>93</v>
      </c>
      <c r="N108">
        <v>663.48437999999999</v>
      </c>
    </row>
    <row r="109" spans="1:33" x14ac:dyDescent="0.2">
      <c r="A109">
        <v>271</v>
      </c>
      <c r="B109" t="s">
        <v>35</v>
      </c>
      <c r="C109">
        <v>9854.7028210180397</v>
      </c>
      <c r="D109" t="s">
        <v>3</v>
      </c>
      <c r="E109" t="s">
        <v>27</v>
      </c>
      <c r="G109">
        <v>271</v>
      </c>
      <c r="H109" t="s">
        <v>35</v>
      </c>
      <c r="I109">
        <v>9854.7028210000008</v>
      </c>
      <c r="J109" t="s">
        <v>3</v>
      </c>
      <c r="K109" t="s">
        <v>27</v>
      </c>
      <c r="M109" t="s">
        <v>94</v>
      </c>
      <c r="N109">
        <v>13874.014999999999</v>
      </c>
    </row>
    <row r="110" spans="1:33" x14ac:dyDescent="0.2">
      <c r="A110">
        <v>272</v>
      </c>
      <c r="B110" t="s">
        <v>35</v>
      </c>
      <c r="C110">
        <v>2673.6100414695106</v>
      </c>
      <c r="D110" t="s">
        <v>2</v>
      </c>
      <c r="E110" t="s">
        <v>27</v>
      </c>
      <c r="G110">
        <v>272</v>
      </c>
      <c r="H110" t="s">
        <v>35</v>
      </c>
      <c r="I110">
        <v>2673.6100409999999</v>
      </c>
      <c r="J110" t="s">
        <v>2</v>
      </c>
      <c r="K110" t="s">
        <v>27</v>
      </c>
      <c r="M110" t="s">
        <v>95</v>
      </c>
      <c r="N110">
        <v>11122.050999999999</v>
      </c>
      <c r="AF110" t="s">
        <v>90</v>
      </c>
    </row>
    <row r="111" spans="1:33" x14ac:dyDescent="0.2">
      <c r="A111">
        <v>273</v>
      </c>
      <c r="B111" t="s">
        <v>29</v>
      </c>
      <c r="C111">
        <v>46765.027245823665</v>
      </c>
      <c r="D111" t="s">
        <v>3</v>
      </c>
      <c r="E111" t="s">
        <v>33</v>
      </c>
      <c r="G111">
        <v>273</v>
      </c>
      <c r="H111" t="s">
        <v>29</v>
      </c>
      <c r="I111">
        <v>46765.027249999999</v>
      </c>
      <c r="J111" t="s">
        <v>3</v>
      </c>
      <c r="K111" t="s">
        <v>33</v>
      </c>
      <c r="M111" t="s">
        <v>96</v>
      </c>
      <c r="N111">
        <v>23</v>
      </c>
    </row>
    <row r="112" spans="1:33" x14ac:dyDescent="0.2">
      <c r="A112">
        <v>281</v>
      </c>
      <c r="B112" t="s">
        <v>25</v>
      </c>
      <c r="C112">
        <v>2854.543238436192</v>
      </c>
      <c r="D112" t="s">
        <v>2</v>
      </c>
      <c r="E112" t="s">
        <v>27</v>
      </c>
      <c r="G112">
        <v>281</v>
      </c>
      <c r="H112" t="s">
        <v>25</v>
      </c>
      <c r="I112">
        <v>2854.5432380000002</v>
      </c>
      <c r="J112" t="s">
        <v>2</v>
      </c>
      <c r="K112" t="s">
        <v>27</v>
      </c>
      <c r="AF112" t="s">
        <v>91</v>
      </c>
      <c r="AG112" t="s">
        <v>91</v>
      </c>
    </row>
    <row r="113" spans="1:33" x14ac:dyDescent="0.2">
      <c r="A113">
        <v>282</v>
      </c>
      <c r="B113" t="s">
        <v>29</v>
      </c>
      <c r="C113">
        <v>3115.1086756616542</v>
      </c>
      <c r="D113" t="s">
        <v>2</v>
      </c>
      <c r="E113" t="s">
        <v>27</v>
      </c>
      <c r="G113">
        <v>282</v>
      </c>
      <c r="H113" t="s">
        <v>29</v>
      </c>
      <c r="I113">
        <v>3115.1086759999998</v>
      </c>
      <c r="J113" t="s">
        <v>2</v>
      </c>
      <c r="K113" t="s">
        <v>27</v>
      </c>
      <c r="M113" t="s">
        <v>97</v>
      </c>
      <c r="AF113" t="s">
        <v>69</v>
      </c>
      <c r="AG113">
        <v>2481.6145999999999</v>
      </c>
    </row>
    <row r="114" spans="1:33" x14ac:dyDescent="0.2">
      <c r="A114">
        <v>287</v>
      </c>
      <c r="B114" t="s">
        <v>35</v>
      </c>
      <c r="C114">
        <v>18274.468972377403</v>
      </c>
      <c r="D114" t="s">
        <v>3</v>
      </c>
      <c r="E114" t="s">
        <v>27</v>
      </c>
      <c r="G114">
        <v>287</v>
      </c>
      <c r="H114" t="s">
        <v>35</v>
      </c>
      <c r="I114">
        <v>18274.468970000002</v>
      </c>
      <c r="J114" t="s">
        <v>3</v>
      </c>
      <c r="K114" t="s">
        <v>27</v>
      </c>
      <c r="M114" t="s">
        <v>98</v>
      </c>
      <c r="AF114" t="s">
        <v>92</v>
      </c>
      <c r="AG114">
        <v>1102.9847</v>
      </c>
    </row>
    <row r="115" spans="1:33" x14ac:dyDescent="0.2">
      <c r="A115">
        <v>288</v>
      </c>
      <c r="B115" t="s">
        <v>35</v>
      </c>
      <c r="C115">
        <v>810.95862880076152</v>
      </c>
      <c r="D115" t="s">
        <v>2</v>
      </c>
      <c r="E115" t="s">
        <v>27</v>
      </c>
      <c r="G115">
        <v>288</v>
      </c>
      <c r="H115" t="s">
        <v>35</v>
      </c>
      <c r="I115">
        <v>810.95862880000004</v>
      </c>
      <c r="J115" t="s">
        <v>2</v>
      </c>
      <c r="K115" t="s">
        <v>27</v>
      </c>
      <c r="M115" t="s">
        <v>99</v>
      </c>
      <c r="AF115" t="s">
        <v>93</v>
      </c>
      <c r="AG115">
        <v>198.1019</v>
      </c>
    </row>
    <row r="116" spans="1:33" x14ac:dyDescent="0.2">
      <c r="A116">
        <v>290</v>
      </c>
      <c r="B116" t="s">
        <v>25</v>
      </c>
      <c r="C116">
        <v>19126.159243715065</v>
      </c>
      <c r="D116" t="s">
        <v>3</v>
      </c>
      <c r="E116" t="s">
        <v>27</v>
      </c>
      <c r="G116">
        <v>290</v>
      </c>
      <c r="H116" t="s">
        <v>25</v>
      </c>
      <c r="I116">
        <v>19126.159240000001</v>
      </c>
      <c r="J116" t="s">
        <v>3</v>
      </c>
      <c r="K116" t="s">
        <v>27</v>
      </c>
      <c r="M116" t="s">
        <v>35</v>
      </c>
      <c r="N116" t="s">
        <v>91</v>
      </c>
      <c r="O116" t="s">
        <v>100</v>
      </c>
      <c r="AF116" t="s">
        <v>94</v>
      </c>
      <c r="AG116">
        <v>2886.1925999999999</v>
      </c>
    </row>
    <row r="117" spans="1:33" x14ac:dyDescent="0.2">
      <c r="A117">
        <v>291</v>
      </c>
      <c r="B117" t="s">
        <v>25</v>
      </c>
      <c r="C117">
        <v>15002.47465528823</v>
      </c>
      <c r="D117" t="s">
        <v>3</v>
      </c>
      <c r="E117" t="s">
        <v>27</v>
      </c>
      <c r="G117">
        <v>291</v>
      </c>
      <c r="H117" t="s">
        <v>25</v>
      </c>
      <c r="I117">
        <v>15002.47466</v>
      </c>
      <c r="J117" t="s">
        <v>3</v>
      </c>
      <c r="K117" t="s">
        <v>27</v>
      </c>
      <c r="M117">
        <v>0.95359400000000005</v>
      </c>
      <c r="N117" t="s">
        <v>91</v>
      </c>
      <c r="O117">
        <v>0.3468</v>
      </c>
      <c r="AF117" t="s">
        <v>95</v>
      </c>
      <c r="AG117">
        <v>2077.0365000000002</v>
      </c>
    </row>
    <row r="118" spans="1:33" x14ac:dyDescent="0.2">
      <c r="A118">
        <v>293</v>
      </c>
      <c r="B118" t="s">
        <v>25</v>
      </c>
      <c r="C118">
        <v>15841.305495682434</v>
      </c>
      <c r="D118" t="s">
        <v>3</v>
      </c>
      <c r="E118" t="s">
        <v>27</v>
      </c>
      <c r="G118">
        <v>293</v>
      </c>
      <c r="H118" t="s">
        <v>25</v>
      </c>
      <c r="I118">
        <v>15841.3055</v>
      </c>
      <c r="J118" t="s">
        <v>3</v>
      </c>
      <c r="K118" t="s">
        <v>27</v>
      </c>
      <c r="AF118" t="s">
        <v>96</v>
      </c>
      <c r="AG118">
        <v>31</v>
      </c>
    </row>
    <row r="119" spans="1:33" x14ac:dyDescent="0.2">
      <c r="A119">
        <v>294</v>
      </c>
      <c r="B119" t="s">
        <v>29</v>
      </c>
      <c r="C119">
        <v>42213.354291614996</v>
      </c>
      <c r="D119" t="s">
        <v>3</v>
      </c>
      <c r="E119" t="s">
        <v>33</v>
      </c>
      <c r="G119">
        <v>294</v>
      </c>
      <c r="H119" t="s">
        <v>29</v>
      </c>
      <c r="I119">
        <v>42213.354290000003</v>
      </c>
      <c r="J119" t="s">
        <v>3</v>
      </c>
      <c r="K119" t="s">
        <v>33</v>
      </c>
    </row>
    <row r="120" spans="1:33" x14ac:dyDescent="0.2">
      <c r="A120">
        <v>296</v>
      </c>
      <c r="B120" t="s">
        <v>35</v>
      </c>
      <c r="C120">
        <v>9525.0193755613454</v>
      </c>
      <c r="D120" t="s">
        <v>3</v>
      </c>
      <c r="E120" t="s">
        <v>27</v>
      </c>
      <c r="G120">
        <v>296</v>
      </c>
      <c r="H120" t="s">
        <v>35</v>
      </c>
      <c r="I120">
        <v>9525.0193760000002</v>
      </c>
      <c r="J120" t="s">
        <v>3</v>
      </c>
      <c r="K120" t="s">
        <v>27</v>
      </c>
    </row>
    <row r="121" spans="1:33" x14ac:dyDescent="0.2">
      <c r="A121">
        <v>300</v>
      </c>
      <c r="B121" t="s">
        <v>29</v>
      </c>
      <c r="C121">
        <v>8539.7738513755612</v>
      </c>
      <c r="D121" t="s">
        <v>3</v>
      </c>
      <c r="E121" t="s">
        <v>27</v>
      </c>
      <c r="G121">
        <v>300</v>
      </c>
      <c r="H121" t="s">
        <v>29</v>
      </c>
      <c r="I121">
        <v>8539.7738509999999</v>
      </c>
      <c r="J121" t="s">
        <v>3</v>
      </c>
      <c r="K121" t="s">
        <v>27</v>
      </c>
    </row>
    <row r="122" spans="1:33" x14ac:dyDescent="0.2">
      <c r="A122">
        <v>302</v>
      </c>
      <c r="B122" t="s">
        <v>29</v>
      </c>
      <c r="C122">
        <v>51031.515429027189</v>
      </c>
      <c r="D122" t="s">
        <v>3</v>
      </c>
      <c r="E122" t="s">
        <v>33</v>
      </c>
      <c r="G122">
        <v>302</v>
      </c>
      <c r="H122" t="s">
        <v>29</v>
      </c>
      <c r="I122">
        <v>51031.515429999999</v>
      </c>
      <c r="J122" t="s">
        <v>3</v>
      </c>
      <c r="K122" t="s">
        <v>33</v>
      </c>
    </row>
    <row r="123" spans="1:33" x14ac:dyDescent="0.2">
      <c r="A123">
        <v>304</v>
      </c>
      <c r="B123" t="s">
        <v>29</v>
      </c>
      <c r="C123">
        <v>50039.998439769202</v>
      </c>
      <c r="D123" t="s">
        <v>3</v>
      </c>
      <c r="E123" t="s">
        <v>33</v>
      </c>
      <c r="G123">
        <v>304</v>
      </c>
      <c r="H123" t="s">
        <v>29</v>
      </c>
      <c r="I123">
        <v>50039.998440000003</v>
      </c>
      <c r="J123" t="s">
        <v>3</v>
      </c>
      <c r="K123" t="s">
        <v>33</v>
      </c>
      <c r="AF123" t="s">
        <v>101</v>
      </c>
    </row>
    <row r="124" spans="1:33" x14ac:dyDescent="0.2">
      <c r="A124">
        <v>305</v>
      </c>
      <c r="B124" t="s">
        <v>35</v>
      </c>
      <c r="C124">
        <v>16710.835275770762</v>
      </c>
      <c r="D124" t="s">
        <v>3</v>
      </c>
      <c r="E124" t="s">
        <v>27</v>
      </c>
      <c r="G124">
        <v>305</v>
      </c>
      <c r="H124" t="s">
        <v>35</v>
      </c>
      <c r="I124">
        <v>16710.835279999999</v>
      </c>
      <c r="J124" t="s">
        <v>3</v>
      </c>
      <c r="K124" t="s">
        <v>27</v>
      </c>
    </row>
    <row r="125" spans="1:33" x14ac:dyDescent="0.2">
      <c r="A125">
        <v>311</v>
      </c>
      <c r="B125" t="s">
        <v>29</v>
      </c>
      <c r="C125" s="23">
        <v>100740.31275186824</v>
      </c>
      <c r="D125" t="s">
        <v>3</v>
      </c>
      <c r="E125" t="s">
        <v>33</v>
      </c>
      <c r="G125">
        <v>311</v>
      </c>
      <c r="H125" t="s">
        <v>29</v>
      </c>
      <c r="J125" t="s">
        <v>3</v>
      </c>
      <c r="K125" t="s">
        <v>33</v>
      </c>
    </row>
    <row r="126" spans="1:33" x14ac:dyDescent="0.2">
      <c r="A126">
        <v>314</v>
      </c>
      <c r="B126" t="s">
        <v>25</v>
      </c>
      <c r="C126" s="23">
        <v>33284.635523539029</v>
      </c>
      <c r="D126" t="s">
        <v>3</v>
      </c>
      <c r="E126" t="s">
        <v>27</v>
      </c>
      <c r="G126">
        <v>314</v>
      </c>
      <c r="H126" t="s">
        <v>25</v>
      </c>
      <c r="J126" t="s">
        <v>3</v>
      </c>
      <c r="K126" t="s">
        <v>27</v>
      </c>
      <c r="AF126" t="s">
        <v>20</v>
      </c>
    </row>
    <row r="127" spans="1:33" x14ac:dyDescent="0.2">
      <c r="A127">
        <v>320</v>
      </c>
      <c r="B127" t="s">
        <v>25</v>
      </c>
      <c r="C127" s="23">
        <v>40478.780456603155</v>
      </c>
      <c r="D127" t="s">
        <v>3</v>
      </c>
      <c r="E127" t="s">
        <v>33</v>
      </c>
      <c r="G127">
        <v>320</v>
      </c>
      <c r="H127" t="s">
        <v>25</v>
      </c>
      <c r="J127" t="s">
        <v>3</v>
      </c>
      <c r="K127" t="s">
        <v>33</v>
      </c>
    </row>
    <row r="128" spans="1:33" x14ac:dyDescent="0.2">
      <c r="A128">
        <v>321</v>
      </c>
      <c r="B128" t="s">
        <v>29</v>
      </c>
      <c r="C128">
        <v>1291.1142349168879</v>
      </c>
      <c r="D128" t="s">
        <v>2</v>
      </c>
      <c r="E128" t="s">
        <v>33</v>
      </c>
      <c r="G128">
        <v>321</v>
      </c>
      <c r="H128" t="s">
        <v>29</v>
      </c>
      <c r="I128">
        <v>1291.114235</v>
      </c>
      <c r="J128" t="s">
        <v>2</v>
      </c>
      <c r="K128" t="s">
        <v>33</v>
      </c>
    </row>
    <row r="129" spans="1:33" x14ac:dyDescent="0.2">
      <c r="A129">
        <v>322</v>
      </c>
      <c r="B129" t="s">
        <v>29</v>
      </c>
      <c r="C129">
        <v>72775.953053364443</v>
      </c>
      <c r="D129" t="s">
        <v>3</v>
      </c>
      <c r="E129" t="s">
        <v>33</v>
      </c>
      <c r="G129">
        <v>322</v>
      </c>
      <c r="H129" t="s">
        <v>29</v>
      </c>
      <c r="I129">
        <v>72775.953049999996</v>
      </c>
      <c r="J129" t="s">
        <v>3</v>
      </c>
      <c r="K129" t="s">
        <v>33</v>
      </c>
    </row>
    <row r="130" spans="1:33" x14ac:dyDescent="0.2">
      <c r="A130">
        <v>328</v>
      </c>
      <c r="B130" t="s">
        <v>29</v>
      </c>
      <c r="C130">
        <v>44511.068439302609</v>
      </c>
      <c r="D130" t="s">
        <v>3</v>
      </c>
      <c r="E130" t="s">
        <v>33</v>
      </c>
      <c r="G130">
        <v>328</v>
      </c>
      <c r="H130" t="s">
        <v>29</v>
      </c>
      <c r="I130">
        <v>44511.068440000003</v>
      </c>
      <c r="J130" t="s">
        <v>3</v>
      </c>
      <c r="K130" t="s">
        <v>33</v>
      </c>
    </row>
    <row r="131" spans="1:33" x14ac:dyDescent="0.2">
      <c r="A131">
        <v>329</v>
      </c>
      <c r="B131" t="s">
        <v>35</v>
      </c>
      <c r="C131">
        <v>918.41833599602148</v>
      </c>
      <c r="D131" t="s">
        <v>2</v>
      </c>
      <c r="E131" t="s">
        <v>27</v>
      </c>
      <c r="G131">
        <v>329</v>
      </c>
      <c r="H131" t="s">
        <v>35</v>
      </c>
      <c r="I131">
        <v>918.41833599999995</v>
      </c>
      <c r="J131" t="s">
        <v>2</v>
      </c>
      <c r="K131" t="s">
        <v>27</v>
      </c>
    </row>
    <row r="132" spans="1:33" x14ac:dyDescent="0.2">
      <c r="A132">
        <v>330</v>
      </c>
      <c r="B132" t="s">
        <v>35</v>
      </c>
      <c r="C132">
        <v>1942.2784488793015</v>
      </c>
      <c r="D132" t="s">
        <v>2</v>
      </c>
      <c r="E132" t="s">
        <v>27</v>
      </c>
      <c r="G132">
        <v>330</v>
      </c>
      <c r="H132" t="s">
        <v>35</v>
      </c>
      <c r="I132">
        <v>1942.2784489999999</v>
      </c>
      <c r="J132" t="s">
        <v>2</v>
      </c>
      <c r="K132" t="s">
        <v>27</v>
      </c>
      <c r="AF132" t="s">
        <v>90</v>
      </c>
    </row>
    <row r="133" spans="1:33" x14ac:dyDescent="0.2">
      <c r="A133">
        <v>333</v>
      </c>
      <c r="B133" t="s">
        <v>29</v>
      </c>
      <c r="C133">
        <v>1427.538535736729</v>
      </c>
      <c r="D133" t="s">
        <v>2</v>
      </c>
      <c r="E133" t="s">
        <v>33</v>
      </c>
      <c r="G133">
        <v>333</v>
      </c>
      <c r="H133" t="s">
        <v>29</v>
      </c>
      <c r="I133">
        <v>1427.538536</v>
      </c>
      <c r="J133" t="s">
        <v>2</v>
      </c>
      <c r="K133" t="s">
        <v>33</v>
      </c>
      <c r="M133" t="s">
        <v>91</v>
      </c>
      <c r="N133" t="s">
        <v>91</v>
      </c>
    </row>
    <row r="134" spans="1:33" x14ac:dyDescent="0.2">
      <c r="A134">
        <v>338</v>
      </c>
      <c r="B134" t="s">
        <v>29</v>
      </c>
      <c r="C134">
        <v>65449.846949787352</v>
      </c>
      <c r="D134" t="s">
        <v>3</v>
      </c>
      <c r="E134" t="s">
        <v>33</v>
      </c>
      <c r="G134">
        <v>338</v>
      </c>
      <c r="H134" t="s">
        <v>29</v>
      </c>
      <c r="I134">
        <v>65449.846949999999</v>
      </c>
      <c r="J134" t="s">
        <v>3</v>
      </c>
      <c r="K134" t="s">
        <v>33</v>
      </c>
      <c r="AF134" t="s">
        <v>91</v>
      </c>
      <c r="AG134" t="s">
        <v>91</v>
      </c>
    </row>
    <row r="135" spans="1:33" x14ac:dyDescent="0.2">
      <c r="A135">
        <v>339</v>
      </c>
      <c r="B135" t="s">
        <v>25</v>
      </c>
      <c r="C135">
        <v>15674.129689516589</v>
      </c>
      <c r="D135" t="s">
        <v>3</v>
      </c>
      <c r="E135" t="s">
        <v>33</v>
      </c>
      <c r="G135">
        <v>339</v>
      </c>
      <c r="H135" t="s">
        <v>25</v>
      </c>
      <c r="I135">
        <v>15674.12969</v>
      </c>
      <c r="J135" t="s">
        <v>3</v>
      </c>
      <c r="K135" t="s">
        <v>33</v>
      </c>
      <c r="AF135" t="s">
        <v>69</v>
      </c>
      <c r="AG135">
        <v>48696.748</v>
      </c>
    </row>
    <row r="136" spans="1:33" x14ac:dyDescent="0.2">
      <c r="A136">
        <v>343</v>
      </c>
      <c r="B136" t="s">
        <v>35</v>
      </c>
      <c r="C136">
        <v>2595.2056157303646</v>
      </c>
      <c r="D136" t="s">
        <v>2</v>
      </c>
      <c r="E136" t="s">
        <v>27</v>
      </c>
      <c r="G136">
        <v>343</v>
      </c>
      <c r="H136" t="s">
        <v>35</v>
      </c>
      <c r="I136">
        <v>2595.2056160000002</v>
      </c>
      <c r="J136" t="s">
        <v>2</v>
      </c>
      <c r="K136" t="s">
        <v>27</v>
      </c>
      <c r="AF136" t="s">
        <v>92</v>
      </c>
      <c r="AG136">
        <v>27668.727999999999</v>
      </c>
    </row>
    <row r="137" spans="1:33" x14ac:dyDescent="0.2">
      <c r="A137">
        <v>347</v>
      </c>
      <c r="B137" t="s">
        <v>35</v>
      </c>
      <c r="C137">
        <v>16774.133827092021</v>
      </c>
      <c r="D137" t="s">
        <v>3</v>
      </c>
      <c r="E137" t="s">
        <v>27</v>
      </c>
      <c r="G137">
        <v>347</v>
      </c>
      <c r="H137" t="s">
        <v>35</v>
      </c>
      <c r="I137">
        <v>16774.133829999999</v>
      </c>
      <c r="J137" t="s">
        <v>3</v>
      </c>
      <c r="K137" t="s">
        <v>27</v>
      </c>
      <c r="AF137" t="s">
        <v>93</v>
      </c>
      <c r="AG137">
        <v>4430.5424000000003</v>
      </c>
    </row>
    <row r="138" spans="1:33" x14ac:dyDescent="0.2">
      <c r="A138">
        <v>349</v>
      </c>
      <c r="B138" t="s">
        <v>29</v>
      </c>
      <c r="C138">
        <v>46827.827184502879</v>
      </c>
      <c r="D138" t="s">
        <v>3</v>
      </c>
      <c r="E138" t="s">
        <v>33</v>
      </c>
      <c r="G138">
        <v>349</v>
      </c>
      <c r="H138" t="s">
        <v>29</v>
      </c>
      <c r="I138">
        <v>46827.82718</v>
      </c>
      <c r="J138" t="s">
        <v>3</v>
      </c>
      <c r="K138" t="s">
        <v>33</v>
      </c>
      <c r="AF138" t="s">
        <v>94</v>
      </c>
      <c r="AG138">
        <v>57665.911999999997</v>
      </c>
    </row>
    <row r="139" spans="1:33" x14ac:dyDescent="0.2">
      <c r="A139">
        <v>356</v>
      </c>
      <c r="B139" t="s">
        <v>35</v>
      </c>
      <c r="C139">
        <v>17076.985505129454</v>
      </c>
      <c r="D139" t="s">
        <v>3</v>
      </c>
      <c r="E139" t="s">
        <v>27</v>
      </c>
      <c r="G139">
        <v>356</v>
      </c>
      <c r="H139" t="s">
        <v>35</v>
      </c>
      <c r="I139">
        <v>17076.985509999999</v>
      </c>
      <c r="J139" t="s">
        <v>3</v>
      </c>
      <c r="K139" t="s">
        <v>27</v>
      </c>
      <c r="AF139" t="s">
        <v>95</v>
      </c>
      <c r="AG139">
        <v>39727.584000000003</v>
      </c>
    </row>
    <row r="140" spans="1:33" x14ac:dyDescent="0.2">
      <c r="A140">
        <v>357</v>
      </c>
      <c r="B140" t="s">
        <v>35</v>
      </c>
      <c r="C140">
        <v>8992.0298559226921</v>
      </c>
      <c r="D140" t="s">
        <v>3</v>
      </c>
      <c r="E140" t="s">
        <v>27</v>
      </c>
      <c r="G140">
        <v>357</v>
      </c>
      <c r="H140" t="s">
        <v>35</v>
      </c>
      <c r="I140">
        <v>8992.0298559999992</v>
      </c>
      <c r="J140" t="s">
        <v>3</v>
      </c>
      <c r="K140" t="s">
        <v>27</v>
      </c>
      <c r="AF140" t="s">
        <v>96</v>
      </c>
      <c r="AG140">
        <v>39</v>
      </c>
    </row>
    <row r="141" spans="1:33" x14ac:dyDescent="0.2">
      <c r="A141">
        <v>358</v>
      </c>
      <c r="B141" t="s">
        <v>25</v>
      </c>
      <c r="C141">
        <v>16490.544633296511</v>
      </c>
      <c r="D141" t="s">
        <v>3</v>
      </c>
      <c r="E141" t="s">
        <v>33</v>
      </c>
      <c r="G141">
        <v>358</v>
      </c>
      <c r="H141" t="s">
        <v>25</v>
      </c>
      <c r="I141">
        <v>16490.54463</v>
      </c>
      <c r="J141" t="s">
        <v>3</v>
      </c>
      <c r="K141" t="s">
        <v>33</v>
      </c>
    </row>
    <row r="142" spans="1:33" x14ac:dyDescent="0.2">
      <c r="A142">
        <v>366</v>
      </c>
      <c r="B142" t="s">
        <v>35</v>
      </c>
      <c r="C142">
        <v>12364.890281460235</v>
      </c>
      <c r="D142" t="s">
        <v>3</v>
      </c>
      <c r="E142" t="s">
        <v>27</v>
      </c>
      <c r="G142">
        <v>366</v>
      </c>
      <c r="H142" t="s">
        <v>35</v>
      </c>
      <c r="I142">
        <v>12364.89028</v>
      </c>
      <c r="J142" t="s">
        <v>3</v>
      </c>
      <c r="K142" t="s">
        <v>27</v>
      </c>
    </row>
    <row r="143" spans="1:33" x14ac:dyDescent="0.2">
      <c r="A143">
        <v>372</v>
      </c>
      <c r="B143" t="s">
        <v>35</v>
      </c>
      <c r="C143">
        <v>12403.719287521526</v>
      </c>
      <c r="D143" t="s">
        <v>3</v>
      </c>
      <c r="E143" t="s">
        <v>27</v>
      </c>
      <c r="G143">
        <v>372</v>
      </c>
      <c r="H143" t="s">
        <v>35</v>
      </c>
      <c r="I143">
        <v>12403.719289999999</v>
      </c>
      <c r="J143" t="s">
        <v>3</v>
      </c>
      <c r="K143" t="s">
        <v>27</v>
      </c>
    </row>
    <row r="144" spans="1:33" x14ac:dyDescent="0.2">
      <c r="A144">
        <v>374</v>
      </c>
      <c r="B144" t="s">
        <v>25</v>
      </c>
      <c r="C144">
        <v>11225.232539390583</v>
      </c>
      <c r="D144" t="s">
        <v>3</v>
      </c>
      <c r="E144" t="s">
        <v>33</v>
      </c>
      <c r="G144">
        <v>374</v>
      </c>
      <c r="H144" t="s">
        <v>25</v>
      </c>
      <c r="I144">
        <v>11225.232540000001</v>
      </c>
      <c r="J144" t="s">
        <v>3</v>
      </c>
      <c r="K144" t="s">
        <v>33</v>
      </c>
    </row>
    <row r="145" spans="1:33" x14ac:dyDescent="0.2">
      <c r="A145">
        <v>377</v>
      </c>
      <c r="B145" t="s">
        <v>25</v>
      </c>
      <c r="C145">
        <v>11249.494560988222</v>
      </c>
      <c r="D145" t="s">
        <v>3</v>
      </c>
      <c r="E145" t="s">
        <v>33</v>
      </c>
      <c r="G145">
        <v>377</v>
      </c>
      <c r="H145" t="s">
        <v>25</v>
      </c>
      <c r="I145">
        <v>11249.494559999999</v>
      </c>
      <c r="J145" t="s">
        <v>3</v>
      </c>
      <c r="K145" t="s">
        <v>33</v>
      </c>
      <c r="AF145" t="s">
        <v>102</v>
      </c>
    </row>
    <row r="146" spans="1:33" x14ac:dyDescent="0.2">
      <c r="A146">
        <v>378</v>
      </c>
      <c r="B146" t="s">
        <v>35</v>
      </c>
      <c r="C146">
        <v>11371.329189285862</v>
      </c>
      <c r="D146" t="s">
        <v>3</v>
      </c>
      <c r="E146" t="s">
        <v>27</v>
      </c>
      <c r="G146">
        <v>378</v>
      </c>
      <c r="H146" t="s">
        <v>35</v>
      </c>
      <c r="I146">
        <v>11371.32919</v>
      </c>
      <c r="J146" t="s">
        <v>3</v>
      </c>
      <c r="K146" t="s">
        <v>27</v>
      </c>
    </row>
    <row r="147" spans="1:33" x14ac:dyDescent="0.2">
      <c r="A147">
        <v>379</v>
      </c>
      <c r="B147" t="s">
        <v>25</v>
      </c>
      <c r="C147">
        <v>12159.170190728093</v>
      </c>
      <c r="D147" t="s">
        <v>3</v>
      </c>
      <c r="E147" t="s">
        <v>27</v>
      </c>
      <c r="G147">
        <v>379</v>
      </c>
      <c r="H147" t="s">
        <v>25</v>
      </c>
      <c r="I147">
        <v>12159.170190000001</v>
      </c>
      <c r="J147" t="s">
        <v>3</v>
      </c>
      <c r="K147" t="s">
        <v>27</v>
      </c>
    </row>
    <row r="148" spans="1:33" x14ac:dyDescent="0.2">
      <c r="A148">
        <v>380</v>
      </c>
      <c r="B148" t="s">
        <v>29</v>
      </c>
      <c r="C148" s="23">
        <v>101949.18368719057</v>
      </c>
      <c r="D148" t="s">
        <v>3</v>
      </c>
      <c r="E148" t="s">
        <v>33</v>
      </c>
      <c r="G148">
        <v>380</v>
      </c>
      <c r="H148" t="s">
        <v>29</v>
      </c>
      <c r="J148" t="s">
        <v>3</v>
      </c>
      <c r="K148" t="s">
        <v>33</v>
      </c>
      <c r="AF148" t="s">
        <v>20</v>
      </c>
    </row>
    <row r="149" spans="1:33" x14ac:dyDescent="0.2">
      <c r="A149">
        <v>381</v>
      </c>
      <c r="B149" t="s">
        <v>29</v>
      </c>
      <c r="C149">
        <v>48802.62355941155</v>
      </c>
      <c r="D149" t="s">
        <v>3</v>
      </c>
      <c r="E149" t="s">
        <v>33</v>
      </c>
      <c r="G149">
        <v>381</v>
      </c>
      <c r="H149" t="s">
        <v>29</v>
      </c>
      <c r="I149">
        <v>48802.62356</v>
      </c>
      <c r="J149" t="s">
        <v>3</v>
      </c>
      <c r="K149" t="s">
        <v>33</v>
      </c>
    </row>
    <row r="150" spans="1:33" x14ac:dyDescent="0.2">
      <c r="A150">
        <v>384</v>
      </c>
      <c r="B150" t="s">
        <v>35</v>
      </c>
      <c r="C150">
        <v>918.41833599602148</v>
      </c>
      <c r="D150" t="s">
        <v>2</v>
      </c>
      <c r="E150" t="s">
        <v>27</v>
      </c>
      <c r="G150">
        <v>384</v>
      </c>
      <c r="H150" t="s">
        <v>35</v>
      </c>
      <c r="I150">
        <v>918.41833599999995</v>
      </c>
      <c r="J150" t="s">
        <v>2</v>
      </c>
      <c r="K150" t="s">
        <v>27</v>
      </c>
    </row>
    <row r="151" spans="1:33" x14ac:dyDescent="0.2">
      <c r="A151">
        <v>387</v>
      </c>
      <c r="B151" t="s">
        <v>35</v>
      </c>
      <c r="C151">
        <v>1196.0682090790413</v>
      </c>
      <c r="D151" t="s">
        <v>2</v>
      </c>
      <c r="E151" t="s">
        <v>27</v>
      </c>
      <c r="G151">
        <v>387</v>
      </c>
      <c r="H151" t="s">
        <v>35</v>
      </c>
      <c r="I151">
        <v>1196.068209</v>
      </c>
      <c r="J151" t="s">
        <v>2</v>
      </c>
      <c r="K151" t="s">
        <v>27</v>
      </c>
    </row>
    <row r="152" spans="1:33" x14ac:dyDescent="0.2">
      <c r="A152">
        <v>388</v>
      </c>
      <c r="B152" t="s">
        <v>29</v>
      </c>
      <c r="C152">
        <v>2412.4514841174214</v>
      </c>
      <c r="D152" t="s">
        <v>2</v>
      </c>
      <c r="E152" t="s">
        <v>33</v>
      </c>
      <c r="G152">
        <v>388</v>
      </c>
      <c r="H152" t="s">
        <v>29</v>
      </c>
      <c r="I152">
        <v>2412.4514840000002</v>
      </c>
      <c r="J152" t="s">
        <v>2</v>
      </c>
      <c r="K152" t="s">
        <v>33</v>
      </c>
    </row>
    <row r="153" spans="1:33" x14ac:dyDescent="0.2">
      <c r="A153">
        <v>391</v>
      </c>
      <c r="B153" t="s">
        <v>29</v>
      </c>
      <c r="C153">
        <v>3299.1290858838852</v>
      </c>
      <c r="D153" t="s">
        <v>2</v>
      </c>
      <c r="E153" t="s">
        <v>33</v>
      </c>
      <c r="G153">
        <v>391</v>
      </c>
      <c r="H153" t="s">
        <v>29</v>
      </c>
      <c r="I153">
        <v>3299.1290859999999</v>
      </c>
      <c r="J153" t="s">
        <v>2</v>
      </c>
      <c r="K153" t="s">
        <v>33</v>
      </c>
    </row>
    <row r="154" spans="1:33" x14ac:dyDescent="0.2">
      <c r="A154">
        <v>392</v>
      </c>
      <c r="B154" t="s">
        <v>35</v>
      </c>
      <c r="C154">
        <v>2659.660799888507</v>
      </c>
      <c r="D154" t="s">
        <v>2</v>
      </c>
      <c r="E154" t="s">
        <v>27</v>
      </c>
      <c r="G154">
        <v>392</v>
      </c>
      <c r="H154" t="s">
        <v>35</v>
      </c>
      <c r="I154">
        <v>2659.6608000000001</v>
      </c>
      <c r="J154" t="s">
        <v>2</v>
      </c>
      <c r="K154" t="s">
        <v>27</v>
      </c>
      <c r="AF154" t="s">
        <v>90</v>
      </c>
    </row>
    <row r="155" spans="1:33" x14ac:dyDescent="0.2">
      <c r="A155">
        <v>394</v>
      </c>
      <c r="B155" t="s">
        <v>29</v>
      </c>
      <c r="C155">
        <v>51935.003432330806</v>
      </c>
      <c r="D155" t="s">
        <v>3</v>
      </c>
      <c r="E155" t="s">
        <v>33</v>
      </c>
      <c r="G155">
        <v>394</v>
      </c>
      <c r="H155" t="s">
        <v>29</v>
      </c>
      <c r="I155">
        <v>51935.003429999997</v>
      </c>
      <c r="J155" t="s">
        <v>3</v>
      </c>
      <c r="K155" t="s">
        <v>33</v>
      </c>
    </row>
    <row r="156" spans="1:33" x14ac:dyDescent="0.2">
      <c r="A156">
        <v>401</v>
      </c>
      <c r="B156" t="s">
        <v>25</v>
      </c>
      <c r="C156">
        <v>1319.9971633640373</v>
      </c>
      <c r="D156" t="s">
        <v>2</v>
      </c>
      <c r="E156" t="s">
        <v>33</v>
      </c>
      <c r="G156">
        <v>401</v>
      </c>
      <c r="H156" t="s">
        <v>25</v>
      </c>
      <c r="I156">
        <v>1319.997163</v>
      </c>
      <c r="J156" t="s">
        <v>2</v>
      </c>
      <c r="K156" t="s">
        <v>33</v>
      </c>
      <c r="AF156" t="s">
        <v>91</v>
      </c>
      <c r="AG156" t="s">
        <v>91</v>
      </c>
    </row>
    <row r="157" spans="1:33" x14ac:dyDescent="0.2">
      <c r="A157">
        <v>403</v>
      </c>
      <c r="B157" t="s">
        <v>25</v>
      </c>
      <c r="C157">
        <v>14594.398926871592</v>
      </c>
      <c r="D157" t="s">
        <v>3</v>
      </c>
      <c r="E157" t="s">
        <v>27</v>
      </c>
      <c r="G157">
        <v>403</v>
      </c>
      <c r="H157" t="s">
        <v>25</v>
      </c>
      <c r="I157">
        <v>14594.398929999999</v>
      </c>
      <c r="J157" t="s">
        <v>3</v>
      </c>
      <c r="K157" t="s">
        <v>27</v>
      </c>
      <c r="AF157" t="s">
        <v>69</v>
      </c>
      <c r="AG157">
        <v>2031.5160000000001</v>
      </c>
    </row>
    <row r="158" spans="1:33" x14ac:dyDescent="0.2">
      <c r="A158">
        <v>405</v>
      </c>
      <c r="B158" t="s">
        <v>35</v>
      </c>
      <c r="C158">
        <v>2144.6605848506319</v>
      </c>
      <c r="D158" t="s">
        <v>2</v>
      </c>
      <c r="E158" t="s">
        <v>27</v>
      </c>
      <c r="G158">
        <v>405</v>
      </c>
      <c r="H158" t="s">
        <v>35</v>
      </c>
      <c r="I158">
        <v>2144.6605850000001</v>
      </c>
      <c r="J158" t="s">
        <v>2</v>
      </c>
      <c r="K158" t="s">
        <v>27</v>
      </c>
      <c r="AF158" t="s">
        <v>92</v>
      </c>
      <c r="AG158">
        <v>960.23870999999997</v>
      </c>
    </row>
    <row r="159" spans="1:33" x14ac:dyDescent="0.2">
      <c r="A159">
        <v>409</v>
      </c>
      <c r="B159" t="s">
        <v>29</v>
      </c>
      <c r="C159">
        <v>43936.544121634783</v>
      </c>
      <c r="D159" t="s">
        <v>3</v>
      </c>
      <c r="E159" t="s">
        <v>33</v>
      </c>
      <c r="G159">
        <v>409</v>
      </c>
      <c r="H159" t="s">
        <v>29</v>
      </c>
      <c r="I159">
        <v>43936.544119999999</v>
      </c>
      <c r="J159" t="s">
        <v>3</v>
      </c>
      <c r="K159" t="s">
        <v>33</v>
      </c>
      <c r="AF159" t="s">
        <v>93</v>
      </c>
      <c r="AG159">
        <v>200.22361000000001</v>
      </c>
    </row>
    <row r="160" spans="1:33" x14ac:dyDescent="0.2">
      <c r="A160">
        <v>413</v>
      </c>
      <c r="B160" t="s">
        <v>25</v>
      </c>
      <c r="C160">
        <v>3003.016478041171</v>
      </c>
      <c r="D160" t="s">
        <v>2</v>
      </c>
      <c r="E160" t="s">
        <v>33</v>
      </c>
      <c r="G160">
        <v>413</v>
      </c>
      <c r="H160" t="s">
        <v>25</v>
      </c>
      <c r="I160">
        <v>3003.016478</v>
      </c>
      <c r="J160" t="s">
        <v>2</v>
      </c>
      <c r="K160" t="s">
        <v>33</v>
      </c>
      <c r="AF160" t="s">
        <v>94</v>
      </c>
      <c r="AG160">
        <v>2446.7543999999998</v>
      </c>
    </row>
    <row r="161" spans="1:33" x14ac:dyDescent="0.2">
      <c r="A161">
        <v>417</v>
      </c>
      <c r="B161" t="s">
        <v>35</v>
      </c>
      <c r="C161">
        <v>7957.4999042625359</v>
      </c>
      <c r="D161" t="s">
        <v>3</v>
      </c>
      <c r="E161" t="s">
        <v>27</v>
      </c>
      <c r="G161">
        <v>417</v>
      </c>
      <c r="H161" t="s">
        <v>35</v>
      </c>
      <c r="I161">
        <v>7957.4999040000002</v>
      </c>
      <c r="J161" t="s">
        <v>3</v>
      </c>
      <c r="K161" t="s">
        <v>27</v>
      </c>
      <c r="AF161" t="s">
        <v>95</v>
      </c>
      <c r="AG161">
        <v>1616.2775999999999</v>
      </c>
    </row>
    <row r="162" spans="1:33" x14ac:dyDescent="0.2">
      <c r="A162">
        <v>418</v>
      </c>
      <c r="B162" t="s">
        <v>35</v>
      </c>
      <c r="C162" s="23">
        <v>32935.58602443181</v>
      </c>
      <c r="D162" t="s">
        <v>3</v>
      </c>
      <c r="E162" t="s">
        <v>27</v>
      </c>
      <c r="G162">
        <v>418</v>
      </c>
      <c r="H162" t="s">
        <v>35</v>
      </c>
      <c r="J162" t="s">
        <v>3</v>
      </c>
      <c r="K162" t="s">
        <v>27</v>
      </c>
      <c r="AF162" t="s">
        <v>96</v>
      </c>
      <c r="AG162">
        <v>23</v>
      </c>
    </row>
    <row r="163" spans="1:33" x14ac:dyDescent="0.2">
      <c r="A163">
        <v>421</v>
      </c>
      <c r="B163" t="s">
        <v>25</v>
      </c>
      <c r="C163">
        <v>14797.49900054007</v>
      </c>
      <c r="D163" t="s">
        <v>3</v>
      </c>
      <c r="E163" t="s">
        <v>33</v>
      </c>
      <c r="G163">
        <v>421</v>
      </c>
      <c r="H163" t="s">
        <v>25</v>
      </c>
      <c r="I163">
        <v>14797.499</v>
      </c>
      <c r="J163" t="s">
        <v>3</v>
      </c>
      <c r="K163" t="s">
        <v>33</v>
      </c>
    </row>
    <row r="164" spans="1:33" x14ac:dyDescent="0.2">
      <c r="A164">
        <v>423</v>
      </c>
      <c r="B164" t="s">
        <v>29</v>
      </c>
      <c r="C164">
        <v>2438.6419241943795</v>
      </c>
      <c r="D164" t="s">
        <v>2</v>
      </c>
      <c r="E164" t="s">
        <v>27</v>
      </c>
      <c r="G164">
        <v>423</v>
      </c>
      <c r="H164" t="s">
        <v>29</v>
      </c>
      <c r="I164">
        <v>2438.641924</v>
      </c>
      <c r="J164" t="s">
        <v>2</v>
      </c>
      <c r="K164" t="s">
        <v>27</v>
      </c>
    </row>
    <row r="165" spans="1:33" x14ac:dyDescent="0.2">
      <c r="A165">
        <v>425</v>
      </c>
      <c r="B165" t="s">
        <v>35</v>
      </c>
      <c r="C165">
        <v>773.6950076729172</v>
      </c>
      <c r="D165" t="s">
        <v>2</v>
      </c>
      <c r="E165" t="s">
        <v>27</v>
      </c>
      <c r="G165">
        <v>425</v>
      </c>
      <c r="H165" t="s">
        <v>35</v>
      </c>
      <c r="I165">
        <v>773.69500770000002</v>
      </c>
      <c r="J165" t="s">
        <v>2</v>
      </c>
      <c r="K165" t="s">
        <v>27</v>
      </c>
    </row>
    <row r="166" spans="1:33" x14ac:dyDescent="0.2">
      <c r="A166">
        <v>429</v>
      </c>
      <c r="B166" t="s">
        <v>29</v>
      </c>
      <c r="C166">
        <v>86923.818131191219</v>
      </c>
      <c r="D166" t="s">
        <v>3</v>
      </c>
      <c r="E166" t="s">
        <v>33</v>
      </c>
      <c r="G166">
        <v>429</v>
      </c>
      <c r="H166" t="s">
        <v>29</v>
      </c>
      <c r="I166">
        <v>86923.81813</v>
      </c>
      <c r="J166" t="s">
        <v>3</v>
      </c>
      <c r="K166" t="s">
        <v>33</v>
      </c>
    </row>
    <row r="167" spans="1:33" x14ac:dyDescent="0.2">
      <c r="A167">
        <v>436</v>
      </c>
      <c r="B167" t="s">
        <v>35</v>
      </c>
      <c r="C167" s="23">
        <v>32985.300108160242</v>
      </c>
      <c r="D167" t="s">
        <v>3</v>
      </c>
      <c r="E167" t="s">
        <v>27</v>
      </c>
      <c r="G167">
        <v>436</v>
      </c>
      <c r="H167" t="s">
        <v>35</v>
      </c>
      <c r="J167" t="s">
        <v>3</v>
      </c>
      <c r="K167" t="s">
        <v>27</v>
      </c>
      <c r="AF167" t="s">
        <v>103</v>
      </c>
    </row>
    <row r="168" spans="1:33" x14ac:dyDescent="0.2">
      <c r="A168">
        <v>441</v>
      </c>
      <c r="B168" t="s">
        <v>29</v>
      </c>
      <c r="C168">
        <v>4354.2859421789681</v>
      </c>
      <c r="D168" t="s">
        <v>2</v>
      </c>
      <c r="E168" t="s">
        <v>33</v>
      </c>
      <c r="G168">
        <v>441</v>
      </c>
      <c r="H168" t="s">
        <v>29</v>
      </c>
      <c r="I168">
        <v>4354.2859420000004</v>
      </c>
      <c r="J168" t="s">
        <v>2</v>
      </c>
      <c r="K168" t="s">
        <v>33</v>
      </c>
    </row>
    <row r="169" spans="1:33" x14ac:dyDescent="0.2">
      <c r="A169">
        <v>442</v>
      </c>
      <c r="B169" t="s">
        <v>35</v>
      </c>
      <c r="C169">
        <v>1725.0727540487001</v>
      </c>
      <c r="D169" t="s">
        <v>2</v>
      </c>
      <c r="E169" t="s">
        <v>27</v>
      </c>
      <c r="G169">
        <v>442</v>
      </c>
      <c r="H169" t="s">
        <v>35</v>
      </c>
      <c r="I169">
        <v>1725.072754</v>
      </c>
      <c r="J169" t="s">
        <v>2</v>
      </c>
      <c r="K169" t="s">
        <v>27</v>
      </c>
    </row>
    <row r="170" spans="1:33" x14ac:dyDescent="0.2">
      <c r="A170">
        <v>450</v>
      </c>
      <c r="B170" t="s">
        <v>29</v>
      </c>
      <c r="C170">
        <v>902.51862195526905</v>
      </c>
      <c r="D170" t="s">
        <v>2</v>
      </c>
      <c r="E170" t="s">
        <v>33</v>
      </c>
      <c r="G170">
        <v>450</v>
      </c>
      <c r="H170" t="s">
        <v>29</v>
      </c>
      <c r="I170">
        <v>902.51862200000005</v>
      </c>
      <c r="J170" t="s">
        <v>2</v>
      </c>
      <c r="K170" t="s">
        <v>33</v>
      </c>
      <c r="AF170" t="s">
        <v>20</v>
      </c>
    </row>
    <row r="171" spans="1:33" x14ac:dyDescent="0.2">
      <c r="A171">
        <v>456</v>
      </c>
      <c r="B171" t="s">
        <v>25</v>
      </c>
      <c r="C171">
        <v>21914.813134766817</v>
      </c>
      <c r="D171" t="s">
        <v>3</v>
      </c>
      <c r="E171" t="s">
        <v>33</v>
      </c>
      <c r="G171">
        <v>456</v>
      </c>
      <c r="H171" t="s">
        <v>25</v>
      </c>
      <c r="I171">
        <v>21914.813129999999</v>
      </c>
      <c r="J171" t="s">
        <v>3</v>
      </c>
      <c r="K171" t="s">
        <v>33</v>
      </c>
    </row>
    <row r="172" spans="1:33" x14ac:dyDescent="0.2">
      <c r="A172">
        <v>458</v>
      </c>
      <c r="B172" t="s">
        <v>25</v>
      </c>
      <c r="C172">
        <v>1098.0662194435238</v>
      </c>
      <c r="D172" t="s">
        <v>2</v>
      </c>
      <c r="E172" t="s">
        <v>33</v>
      </c>
      <c r="G172">
        <v>458</v>
      </c>
      <c r="H172" t="s">
        <v>25</v>
      </c>
      <c r="I172">
        <v>1098.066219</v>
      </c>
      <c r="J172" t="s">
        <v>2</v>
      </c>
      <c r="K172" t="s">
        <v>33</v>
      </c>
    </row>
    <row r="173" spans="1:33" x14ac:dyDescent="0.2">
      <c r="A173">
        <v>459</v>
      </c>
      <c r="B173" t="s">
        <v>25</v>
      </c>
      <c r="C173">
        <v>2482.7127095377132</v>
      </c>
      <c r="D173" t="s">
        <v>2</v>
      </c>
      <c r="E173" t="s">
        <v>33</v>
      </c>
      <c r="G173">
        <v>459</v>
      </c>
      <c r="H173" t="s">
        <v>25</v>
      </c>
      <c r="I173">
        <v>2482.7127099999998</v>
      </c>
      <c r="J173" t="s">
        <v>2</v>
      </c>
      <c r="K173" t="s">
        <v>33</v>
      </c>
    </row>
    <row r="174" spans="1:33" x14ac:dyDescent="0.2">
      <c r="A174">
        <v>466</v>
      </c>
      <c r="B174" t="s">
        <v>29</v>
      </c>
      <c r="C174">
        <v>3648.3687241268949</v>
      </c>
      <c r="D174" t="s">
        <v>2</v>
      </c>
      <c r="E174" t="s">
        <v>33</v>
      </c>
      <c r="G174">
        <v>466</v>
      </c>
      <c r="H174" t="s">
        <v>29</v>
      </c>
      <c r="I174">
        <v>3648.3687239999999</v>
      </c>
      <c r="J174" t="s">
        <v>2</v>
      </c>
      <c r="K174" t="s">
        <v>33</v>
      </c>
    </row>
    <row r="176" spans="1:33" x14ac:dyDescent="0.2">
      <c r="AF176" t="s">
        <v>90</v>
      </c>
    </row>
    <row r="178" spans="1:33" x14ac:dyDescent="0.2">
      <c r="AF178" t="s">
        <v>91</v>
      </c>
      <c r="AG178" t="s">
        <v>91</v>
      </c>
    </row>
    <row r="179" spans="1:33" x14ac:dyDescent="0.2">
      <c r="AF179" t="s">
        <v>69</v>
      </c>
      <c r="AG179">
        <v>19542.358</v>
      </c>
    </row>
    <row r="180" spans="1:33" x14ac:dyDescent="0.2">
      <c r="AF180" t="s">
        <v>92</v>
      </c>
      <c r="AG180">
        <v>7741.2394999999997</v>
      </c>
    </row>
    <row r="181" spans="1:33" x14ac:dyDescent="0.2">
      <c r="AF181" t="s">
        <v>93</v>
      </c>
      <c r="AG181">
        <v>1518.182</v>
      </c>
    </row>
    <row r="182" spans="1:33" x14ac:dyDescent="0.2">
      <c r="AF182" t="s">
        <v>94</v>
      </c>
      <c r="AG182">
        <v>22669.112000000001</v>
      </c>
    </row>
    <row r="183" spans="1:33" x14ac:dyDescent="0.2">
      <c r="AF183" t="s">
        <v>95</v>
      </c>
      <c r="AG183">
        <v>16415.603999999999</v>
      </c>
    </row>
    <row r="184" spans="1:33" x14ac:dyDescent="0.2">
      <c r="A184" s="9"/>
      <c r="AF184" t="s">
        <v>96</v>
      </c>
      <c r="AG184">
        <v>26</v>
      </c>
    </row>
    <row r="189" spans="1:33" x14ac:dyDescent="0.2">
      <c r="AF189" t="s">
        <v>104</v>
      </c>
    </row>
    <row r="192" spans="1:33" x14ac:dyDescent="0.2">
      <c r="AF192" t="s">
        <v>20</v>
      </c>
    </row>
    <row r="198" spans="32:33" x14ac:dyDescent="0.2">
      <c r="AF198" t="s">
        <v>90</v>
      </c>
    </row>
    <row r="200" spans="32:33" x14ac:dyDescent="0.2">
      <c r="AF200" t="s">
        <v>91</v>
      </c>
      <c r="AG200" t="s">
        <v>91</v>
      </c>
    </row>
    <row r="201" spans="32:33" x14ac:dyDescent="0.2">
      <c r="AF201" t="s">
        <v>69</v>
      </c>
      <c r="AG201">
        <v>1847.6918000000001</v>
      </c>
    </row>
    <row r="202" spans="32:33" x14ac:dyDescent="0.2">
      <c r="AF202" t="s">
        <v>92</v>
      </c>
      <c r="AG202">
        <v>957.10306000000003</v>
      </c>
    </row>
    <row r="203" spans="32:33" x14ac:dyDescent="0.2">
      <c r="AF203" t="s">
        <v>93</v>
      </c>
      <c r="AG203">
        <v>195.36784</v>
      </c>
    </row>
    <row r="204" spans="32:33" x14ac:dyDescent="0.2">
      <c r="AF204" t="s">
        <v>94</v>
      </c>
      <c r="AG204">
        <v>2251.8409999999999</v>
      </c>
    </row>
    <row r="205" spans="32:33" x14ac:dyDescent="0.2">
      <c r="AF205" t="s">
        <v>95</v>
      </c>
      <c r="AG205">
        <v>1443.5426</v>
      </c>
    </row>
    <row r="206" spans="32:33" x14ac:dyDescent="0.2">
      <c r="AF206" t="s">
        <v>96</v>
      </c>
      <c r="AG206">
        <v>24</v>
      </c>
    </row>
    <row r="211" spans="32:33" x14ac:dyDescent="0.2">
      <c r="AF211" t="s">
        <v>105</v>
      </c>
    </row>
    <row r="214" spans="32:33" x14ac:dyDescent="0.2">
      <c r="AF214" t="s">
        <v>20</v>
      </c>
    </row>
    <row r="220" spans="32:33" x14ac:dyDescent="0.2">
      <c r="AF220" t="s">
        <v>90</v>
      </c>
    </row>
    <row r="222" spans="32:33" x14ac:dyDescent="0.2">
      <c r="AF222" t="s">
        <v>91</v>
      </c>
      <c r="AG222" t="s">
        <v>91</v>
      </c>
    </row>
    <row r="223" spans="32:33" x14ac:dyDescent="0.2">
      <c r="AF223" t="s">
        <v>69</v>
      </c>
      <c r="AG223">
        <v>16706.741999999998</v>
      </c>
    </row>
    <row r="224" spans="32:33" x14ac:dyDescent="0.2">
      <c r="AF224" t="s">
        <v>92</v>
      </c>
      <c r="AG224">
        <v>9725.7716999999993</v>
      </c>
    </row>
    <row r="225" spans="32:33" x14ac:dyDescent="0.2">
      <c r="AF225" t="s">
        <v>93</v>
      </c>
      <c r="AG225">
        <v>1837.9981</v>
      </c>
    </row>
    <row r="226" spans="32:33" x14ac:dyDescent="0.2">
      <c r="AF226" t="s">
        <v>94</v>
      </c>
      <c r="AG226">
        <v>20478.002</v>
      </c>
    </row>
    <row r="227" spans="32:33" x14ac:dyDescent="0.2">
      <c r="AF227" t="s">
        <v>95</v>
      </c>
      <c r="AG227">
        <v>12935.481</v>
      </c>
    </row>
    <row r="228" spans="32:33" x14ac:dyDescent="0.2">
      <c r="AF228" t="s">
        <v>96</v>
      </c>
      <c r="AG228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Summary</vt:lpstr>
      <vt:lpstr>Data Spreadsheet</vt:lpstr>
      <vt:lpstr>Total Phenolics</vt:lpstr>
      <vt:lpstr>AUCmgDW</vt:lpstr>
      <vt:lpstr>#Peaks&lt;28min</vt:lpstr>
      <vt:lpstr>Unk 3.2</vt:lpstr>
      <vt:lpstr>1,8 cineole</vt:lpstr>
      <vt:lpstr>% N</vt:lpstr>
      <vt:lpstr>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SN203</dc:creator>
  <cp:lastModifiedBy>Elle Horwath</cp:lastModifiedBy>
  <dcterms:created xsi:type="dcterms:W3CDTF">2012-08-08T19:58:40Z</dcterms:created>
  <dcterms:modified xsi:type="dcterms:W3CDTF">2024-04-04T16:37:50Z</dcterms:modified>
</cp:coreProperties>
</file>